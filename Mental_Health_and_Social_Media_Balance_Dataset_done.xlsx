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Klymchuk Dmytriy\Desktop\Social Media and Mental Health Balance\"/>
    </mc:Choice>
  </mc:AlternateContent>
  <xr:revisionPtr revIDLastSave="0" documentId="13_ncr:1_{63E7C989-2060-49F0-BA8F-DFAEC69A4435}" xr6:coauthVersionLast="47" xr6:coauthVersionMax="47" xr10:uidLastSave="{00000000-0000-0000-0000-000000000000}"/>
  <bookViews>
    <workbookView xWindow="-98" yWindow="-98" windowWidth="21795" windowHeight="13695" tabRatio="754" activeTab="5" xr2:uid="{79F79C47-D726-4620-A649-D1961C4E9D4B}"/>
  </bookViews>
  <sheets>
    <sheet name="Raw Sheet" sheetId="7" r:id="rId1"/>
    <sheet name="Working Sheet" sheetId="2" r:id="rId2"/>
    <sheet name="PT Avg" sheetId="9" r:id="rId3"/>
    <sheet name="PT Correlations" sheetId="13" r:id="rId4"/>
    <sheet name="PT Exercise Frequency" sheetId="17" r:id="rId5"/>
    <sheet name="Dashboard" sheetId="16" r:id="rId6"/>
  </sheets>
  <definedNames>
    <definedName name="_xlnm._FilterDatabase" localSheetId="1" hidden="1">'Working Sheet'!$A$1:$M$478</definedName>
    <definedName name="Slicer_Age_Groups">#N/A</definedName>
    <definedName name="Slicer_Gender">#N/A</definedName>
    <definedName name="Slicer_Screen_Time_Groups">#N/A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a="1"/>
  <c r="K2" i="2" s="1"/>
  <c r="K3" i="2" a="1"/>
  <c r="K3" i="2" s="1"/>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s="1"/>
  <c r="K77" i="2" a="1"/>
  <c r="K77" i="2" s="1"/>
  <c r="K78" i="2" a="1"/>
  <c r="K78" i="2" s="1"/>
  <c r="K79" i="2" a="1"/>
  <c r="K79" i="2" s="1"/>
  <c r="K80" i="2" a="1"/>
  <c r="K80" i="2" s="1"/>
  <c r="K81" i="2" a="1"/>
  <c r="K81" i="2" s="1"/>
  <c r="K82" i="2" a="1"/>
  <c r="K82" i="2" s="1"/>
  <c r="K83" i="2" a="1"/>
  <c r="K83" i="2" s="1"/>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s="1"/>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C217" i="2" a="1"/>
  <c r="C217" i="2" s="1"/>
  <c r="C218" i="2" a="1"/>
  <c r="C218" i="2" s="1"/>
  <c r="C161" i="2" a="1"/>
  <c r="C161" i="2" s="1"/>
  <c r="C129" i="2" a="1"/>
  <c r="C129" i="2" s="1"/>
  <c r="C66" i="2" a="1"/>
  <c r="C66" i="2" s="1"/>
  <c r="C299" i="2" a="1"/>
  <c r="C299" i="2" s="1"/>
  <c r="C94" i="2" a="1"/>
  <c r="C94" i="2" s="1"/>
  <c r="C130" i="2" a="1"/>
  <c r="C130" i="2" s="1"/>
  <c r="C219" i="2" a="1"/>
  <c r="C219" i="2" s="1"/>
  <c r="C231" i="2" a="1"/>
  <c r="C231" i="2" s="1"/>
  <c r="C253" i="2" a="1"/>
  <c r="C253" i="2" s="1"/>
  <c r="C331" i="2" a="1"/>
  <c r="C331" i="2" s="1"/>
  <c r="C67" i="2" a="1"/>
  <c r="C67" i="2" s="1"/>
  <c r="C346" i="2" a="1"/>
  <c r="C346" i="2" s="1"/>
  <c r="C274" i="2" a="1"/>
  <c r="C274" i="2" s="1"/>
  <c r="C347" i="2" a="1"/>
  <c r="C347" i="2" s="1"/>
  <c r="C348" i="2" a="1"/>
  <c r="C348" i="2" s="1"/>
  <c r="C300" i="2" a="1"/>
  <c r="C300" i="2" s="1"/>
  <c r="C95" i="2" a="1"/>
  <c r="C95" i="2" s="1"/>
  <c r="C136" i="2" a="1"/>
  <c r="C136" i="2" s="1"/>
  <c r="C58" i="2" a="1"/>
  <c r="C58" i="2" s="1"/>
  <c r="C463" i="2" a="1"/>
  <c r="C463" i="2" s="1"/>
  <c r="C404" i="2" a="1"/>
  <c r="C404" i="2" s="1"/>
  <c r="C141" i="2" a="1"/>
  <c r="C141" i="2" s="1"/>
  <c r="C275" i="2" a="1"/>
  <c r="C275" i="2" s="1"/>
  <c r="C68" i="2" a="1"/>
  <c r="C68" i="2" s="1"/>
  <c r="C405" i="2" a="1"/>
  <c r="C405" i="2" s="1"/>
  <c r="C131" i="2" a="1"/>
  <c r="C131" i="2" s="1"/>
  <c r="C162" i="2" a="1"/>
  <c r="C162" i="2" s="1"/>
  <c r="C436" i="2" a="1"/>
  <c r="C436" i="2" s="1"/>
  <c r="C326" i="2" a="1"/>
  <c r="C326" i="2" s="1"/>
  <c r="C437" i="2" a="1"/>
  <c r="C437" i="2" s="1"/>
  <c r="C78" i="2" a="1"/>
  <c r="C78" i="2" s="1"/>
  <c r="C464" i="2" a="1"/>
  <c r="C464" i="2" s="1"/>
  <c r="C220" i="2" a="1"/>
  <c r="C220" i="2" s="1"/>
  <c r="C254" i="2" a="1"/>
  <c r="C254" i="2" s="1"/>
  <c r="C221" i="2" a="1"/>
  <c r="C221" i="2" s="1"/>
  <c r="C255" i="2" a="1"/>
  <c r="C255" i="2" s="1"/>
  <c r="C301" i="2" a="1"/>
  <c r="C301" i="2" s="1"/>
  <c r="C302" i="2" a="1"/>
  <c r="C302" i="2" s="1"/>
  <c r="C372" i="2" a="1"/>
  <c r="C372" i="2" s="1"/>
  <c r="C406" i="2" a="1"/>
  <c r="C406" i="2" s="1"/>
  <c r="C373" i="2" a="1"/>
  <c r="C373" i="2" s="1"/>
  <c r="C96" i="2" a="1"/>
  <c r="C96" i="2" s="1"/>
  <c r="C163" i="2" a="1"/>
  <c r="C163" i="2" s="1"/>
  <c r="C374" i="2" a="1"/>
  <c r="C374" i="2" s="1"/>
  <c r="C5" i="2" a="1"/>
  <c r="C5" i="2" s="1"/>
  <c r="C303" i="2" a="1"/>
  <c r="C303" i="2" s="1"/>
  <c r="C37" i="2" a="1"/>
  <c r="C37" i="2" s="1"/>
  <c r="C69" i="2" a="1"/>
  <c r="C69" i="2" s="1"/>
  <c r="C375" i="2" a="1"/>
  <c r="C375" i="2" s="1"/>
  <c r="C304" i="2" a="1"/>
  <c r="C304" i="2" s="1"/>
  <c r="C376" i="2" a="1"/>
  <c r="C376" i="2" s="1"/>
  <c r="C256" i="2" a="1"/>
  <c r="C256" i="2" s="1"/>
  <c r="C14" i="2" a="1"/>
  <c r="C14" i="2" s="1"/>
  <c r="C438" i="2" a="1"/>
  <c r="C438" i="2" s="1"/>
  <c r="C439" i="2" a="1"/>
  <c r="C439" i="2" s="1"/>
  <c r="C440" i="2" a="1"/>
  <c r="C440" i="2" s="1"/>
  <c r="C97" i="2" a="1"/>
  <c r="C97" i="2" s="1"/>
  <c r="C377" i="2" a="1"/>
  <c r="C377" i="2" s="1"/>
  <c r="C15" i="2" a="1"/>
  <c r="C15" i="2" s="1"/>
  <c r="C164" i="2" a="1"/>
  <c r="C164" i="2" s="1"/>
  <c r="C332" i="2" a="1"/>
  <c r="C332" i="2" s="1"/>
  <c r="C142" i="2" a="1"/>
  <c r="C142" i="2" s="1"/>
  <c r="C186" i="2" a="1"/>
  <c r="C186" i="2" s="1"/>
  <c r="C441" i="2" a="1"/>
  <c r="C441" i="2" s="1"/>
  <c r="C23" i="2" a="1"/>
  <c r="C23" i="2" s="1"/>
  <c r="C38" i="2" a="1"/>
  <c r="C38" i="2" s="1"/>
  <c r="C98" i="2" a="1"/>
  <c r="C98" i="2" s="1"/>
  <c r="C187" i="2" a="1"/>
  <c r="C187" i="2" s="1"/>
  <c r="C222" i="2" a="1"/>
  <c r="C222" i="2" s="1"/>
  <c r="C188" i="2" a="1"/>
  <c r="C188" i="2" s="1"/>
  <c r="C143" i="2" a="1"/>
  <c r="C143" i="2" s="1"/>
  <c r="C276" i="2" a="1"/>
  <c r="C276" i="2" s="1"/>
  <c r="C407" i="2" a="1"/>
  <c r="C407" i="2" s="1"/>
  <c r="C442" i="2" a="1"/>
  <c r="C442" i="2" s="1"/>
  <c r="C25" i="2" a="1"/>
  <c r="C25" i="2" s="1"/>
  <c r="C465" i="2" a="1"/>
  <c r="C465" i="2" s="1"/>
  <c r="C245" i="2" a="1"/>
  <c r="C245" i="2" s="1"/>
  <c r="C277" i="2" a="1"/>
  <c r="C277" i="2" s="1"/>
  <c r="C278" i="2" a="1"/>
  <c r="C278" i="2" s="1"/>
  <c r="C223" i="2" a="1"/>
  <c r="C223" i="2" s="1"/>
  <c r="C328" i="2" a="1"/>
  <c r="C328" i="2" s="1"/>
  <c r="C378" i="2" a="1"/>
  <c r="C378" i="2" s="1"/>
  <c r="C165" i="2" a="1"/>
  <c r="C165" i="2" s="1"/>
  <c r="C27" i="2" a="1"/>
  <c r="C27" i="2" s="1"/>
  <c r="C189" i="2" a="1"/>
  <c r="C189" i="2" s="1"/>
  <c r="C379" i="2" a="1"/>
  <c r="C379" i="2" s="1"/>
  <c r="C380" i="2" a="1"/>
  <c r="C380" i="2" s="1"/>
  <c r="C99" i="2" a="1"/>
  <c r="C99" i="2" s="1"/>
  <c r="C70" i="2" a="1"/>
  <c r="C70" i="2" s="1"/>
  <c r="C279" i="2" a="1"/>
  <c r="C279" i="2" s="1"/>
  <c r="C320" i="2" a="1"/>
  <c r="C320" i="2" s="1"/>
  <c r="C39" i="2" a="1"/>
  <c r="C39" i="2" s="1"/>
  <c r="C257" i="2" a="1"/>
  <c r="C257" i="2" s="1"/>
  <c r="C443" i="2" a="1"/>
  <c r="C443" i="2" s="1"/>
  <c r="C114" i="2" a="1"/>
  <c r="C114" i="2" s="1"/>
  <c r="C190" i="2" a="1"/>
  <c r="C190" i="2" s="1"/>
  <c r="C144" i="2" a="1"/>
  <c r="C144" i="2" s="1"/>
  <c r="C40" i="2" a="1"/>
  <c r="C40" i="2" s="1"/>
  <c r="C240" i="2" a="1"/>
  <c r="C240" i="2" s="1"/>
  <c r="C100" i="2" a="1"/>
  <c r="C100" i="2" s="1"/>
  <c r="C381" i="2" a="1"/>
  <c r="C381" i="2" s="1"/>
  <c r="C408" i="2" a="1"/>
  <c r="C408" i="2" s="1"/>
  <c r="C246" i="2" a="1"/>
  <c r="C246" i="2" s="1"/>
  <c r="C305" i="2" a="1"/>
  <c r="C305" i="2" s="1"/>
  <c r="C247" i="2" a="1"/>
  <c r="C247" i="2" s="1"/>
  <c r="C166" i="2" a="1"/>
  <c r="C166" i="2" s="1"/>
  <c r="C280" i="2" a="1"/>
  <c r="C280" i="2" s="1"/>
  <c r="C409" i="2" a="1"/>
  <c r="C409" i="2" s="1"/>
  <c r="C137" i="2" a="1"/>
  <c r="C137" i="2" s="1"/>
  <c r="C382" i="2" a="1"/>
  <c r="C382" i="2" s="1"/>
  <c r="C306" i="2" a="1"/>
  <c r="C306" i="2" s="1"/>
  <c r="C307" i="2" a="1"/>
  <c r="C307" i="2" s="1"/>
  <c r="C167" i="2" a="1"/>
  <c r="C167" i="2" s="1"/>
  <c r="C258" i="2" a="1"/>
  <c r="C258" i="2" s="1"/>
  <c r="C71" i="2" a="1"/>
  <c r="C71" i="2" s="1"/>
  <c r="C321" i="2" a="1"/>
  <c r="C321" i="2" s="1"/>
  <c r="C115" i="2" a="1"/>
  <c r="C115" i="2" s="1"/>
  <c r="C349" i="2" a="1"/>
  <c r="C349" i="2" s="1"/>
  <c r="C168" i="2" a="1"/>
  <c r="C168" i="2" s="1"/>
  <c r="C259" i="2" a="1"/>
  <c r="C259" i="2" s="1"/>
  <c r="C224" i="2" a="1"/>
  <c r="C224" i="2" s="1"/>
  <c r="C444" i="2" a="1"/>
  <c r="C444" i="2" s="1"/>
  <c r="C350" i="2" a="1"/>
  <c r="C350" i="2" s="1"/>
  <c r="C72" i="2" a="1"/>
  <c r="C72" i="2" s="1"/>
  <c r="C445" i="2" a="1"/>
  <c r="C445" i="2" s="1"/>
  <c r="C446" i="2" a="1"/>
  <c r="C446" i="2" s="1"/>
  <c r="C410" i="2" a="1"/>
  <c r="C410" i="2" s="1"/>
  <c r="C447" i="2" a="1"/>
  <c r="C447" i="2" s="1"/>
  <c r="C448" i="2" a="1"/>
  <c r="C448" i="2" s="1"/>
  <c r="C225" i="2" a="1"/>
  <c r="C225" i="2" s="1"/>
  <c r="C281" i="2" a="1"/>
  <c r="C281" i="2" s="1"/>
  <c r="C449" i="2" a="1"/>
  <c r="C449" i="2" s="1"/>
  <c r="C308" i="2" a="1"/>
  <c r="C308" i="2" s="1"/>
  <c r="C383" i="2" a="1"/>
  <c r="C383" i="2" s="1"/>
  <c r="C411" i="2" a="1"/>
  <c r="C411" i="2" s="1"/>
  <c r="C384" i="2" a="1"/>
  <c r="C384" i="2" s="1"/>
  <c r="C59" i="2" a="1"/>
  <c r="C59" i="2" s="1"/>
  <c r="C16" i="2" a="1"/>
  <c r="C16" i="2" s="1"/>
  <c r="C238" i="2" a="1"/>
  <c r="C238" i="2" s="1"/>
  <c r="C191" i="2" a="1"/>
  <c r="C191" i="2" s="1"/>
  <c r="C351" i="2" a="1"/>
  <c r="C351" i="2" s="1"/>
  <c r="C352" i="2" a="1"/>
  <c r="C352" i="2" s="1"/>
  <c r="C145" i="2" a="1"/>
  <c r="C145" i="2" s="1"/>
  <c r="C169" i="2" a="1"/>
  <c r="C169" i="2" s="1"/>
  <c r="C79" i="2" a="1"/>
  <c r="C79" i="2" s="1"/>
  <c r="C10" i="2" a="1"/>
  <c r="C10" i="2" s="1"/>
  <c r="C170" i="2" a="1"/>
  <c r="C170" i="2" s="1"/>
  <c r="C226" i="2" a="1"/>
  <c r="C226" i="2" s="1"/>
  <c r="C466" i="2" a="1"/>
  <c r="C466" i="2" s="1"/>
  <c r="C232" i="2" a="1"/>
  <c r="C232" i="2" s="1"/>
  <c r="C171" i="2" a="1"/>
  <c r="C171" i="2" s="1"/>
  <c r="C116" i="2" a="1"/>
  <c r="C116" i="2" s="1"/>
  <c r="C353" i="2" a="1"/>
  <c r="C353" i="2" s="1"/>
  <c r="C412" i="2" a="1"/>
  <c r="C412" i="2" s="1"/>
  <c r="C413" i="2" a="1"/>
  <c r="C413" i="2" s="1"/>
  <c r="C49" i="2" a="1"/>
  <c r="C49" i="2" s="1"/>
  <c r="C132" i="2" a="1"/>
  <c r="C132" i="2" s="1"/>
  <c r="C172" i="2" a="1"/>
  <c r="C172" i="2" s="1"/>
  <c r="C333" i="2" a="1"/>
  <c r="C333" i="2" s="1"/>
  <c r="C192" i="2" a="1"/>
  <c r="C192" i="2" s="1"/>
  <c r="C467" i="2" a="1"/>
  <c r="C467" i="2" s="1"/>
  <c r="C146" i="2" a="1"/>
  <c r="C146" i="2" s="1"/>
  <c r="C322" i="2" a="1"/>
  <c r="C322" i="2" s="1"/>
  <c r="C101" i="2" a="1"/>
  <c r="C101" i="2" s="1"/>
  <c r="C29" i="2" a="1"/>
  <c r="C29" i="2" s="1"/>
  <c r="C414" i="2" a="1"/>
  <c r="C414" i="2" s="1"/>
  <c r="C73" i="2" a="1"/>
  <c r="C73" i="2" s="1"/>
  <c r="C11" i="2" a="1"/>
  <c r="C11" i="2" s="1"/>
  <c r="C147" i="2" a="1"/>
  <c r="C147" i="2" s="1"/>
  <c r="C334" i="2" a="1"/>
  <c r="C334" i="2" s="1"/>
  <c r="C74" i="2" a="1"/>
  <c r="C74" i="2" s="1"/>
  <c r="C41" i="2" a="1"/>
  <c r="C41" i="2" s="1"/>
  <c r="C354" i="2" a="1"/>
  <c r="C354" i="2" s="1"/>
  <c r="C260" i="2" a="1"/>
  <c r="C260" i="2" s="1"/>
  <c r="C385" i="2" a="1"/>
  <c r="C385" i="2" s="1"/>
  <c r="C173" i="2" a="1"/>
  <c r="C173" i="2" s="1"/>
  <c r="C117" i="2" a="1"/>
  <c r="C117" i="2" s="1"/>
  <c r="C450" i="2" a="1"/>
  <c r="C450" i="2" s="1"/>
  <c r="C193" i="2" a="1"/>
  <c r="C193" i="2" s="1"/>
  <c r="C386" i="2" a="1"/>
  <c r="C386" i="2" s="1"/>
  <c r="C50" i="2" a="1"/>
  <c r="C50" i="2" s="1"/>
  <c r="C387" i="2" a="1"/>
  <c r="C387" i="2" s="1"/>
  <c r="C239" i="2" a="1"/>
  <c r="C239" i="2" s="1"/>
  <c r="C468" i="2" a="1"/>
  <c r="C468" i="2" s="1"/>
  <c r="C261" i="2" a="1"/>
  <c r="C261" i="2" s="1"/>
  <c r="C6" i="2" a="1"/>
  <c r="C6" i="2" s="1"/>
  <c r="C30" i="2" a="1"/>
  <c r="C30" i="2" s="1"/>
  <c r="C102" i="2" a="1"/>
  <c r="C102" i="2" s="1"/>
  <c r="C415" i="2" a="1"/>
  <c r="C415" i="2" s="1"/>
  <c r="C80" i="2" a="1"/>
  <c r="C80" i="2" s="1"/>
  <c r="C103" i="2" a="1"/>
  <c r="C103" i="2" s="1"/>
  <c r="C282" i="2" a="1"/>
  <c r="C282" i="2" s="1"/>
  <c r="C233" i="2" a="1"/>
  <c r="C233" i="2" s="1"/>
  <c r="C262" i="2" a="1"/>
  <c r="C262" i="2" s="1"/>
  <c r="C60" i="2" a="1"/>
  <c r="C60" i="2" s="1"/>
  <c r="C248" i="2" a="1"/>
  <c r="C248" i="2" s="1"/>
  <c r="C81" i="2" a="1"/>
  <c r="C81" i="2" s="1"/>
  <c r="C388" i="2" a="1"/>
  <c r="C388" i="2" s="1"/>
  <c r="C469" i="2" a="1"/>
  <c r="C469" i="2" s="1"/>
  <c r="C194" i="2" a="1"/>
  <c r="C194" i="2" s="1"/>
  <c r="C355" i="2" a="1"/>
  <c r="C355" i="2" s="1"/>
  <c r="C283" i="2" a="1"/>
  <c r="C283" i="2" s="1"/>
  <c r="C195" i="2" a="1"/>
  <c r="C195" i="2" s="1"/>
  <c r="C196" i="2" a="1"/>
  <c r="C196" i="2" s="1"/>
  <c r="C451" i="2" a="1"/>
  <c r="C451" i="2" s="1"/>
  <c r="C12" i="2" a="1"/>
  <c r="C12" i="2" s="1"/>
  <c r="C104" i="2" a="1"/>
  <c r="C104" i="2" s="1"/>
  <c r="C197" i="2" a="1"/>
  <c r="C197" i="2" s="1"/>
  <c r="C452" i="2" a="1"/>
  <c r="C452" i="2" s="1"/>
  <c r="C263" i="2" a="1"/>
  <c r="C263" i="2" s="1"/>
  <c r="C389" i="2" a="1"/>
  <c r="C389" i="2" s="1"/>
  <c r="C51" i="2" a="1"/>
  <c r="C51" i="2" s="1"/>
  <c r="C234" i="2" a="1"/>
  <c r="C234" i="2" s="1"/>
  <c r="C174" i="2" a="1"/>
  <c r="C174" i="2" s="1"/>
  <c r="C198" i="2" a="1"/>
  <c r="C198" i="2" s="1"/>
  <c r="C390" i="2" a="1"/>
  <c r="C390" i="2" s="1"/>
  <c r="C9" i="2" a="1"/>
  <c r="C9" i="2" s="1"/>
  <c r="C284" i="2" a="1"/>
  <c r="C284" i="2" s="1"/>
  <c r="C285" i="2" a="1"/>
  <c r="C285" i="2" s="1"/>
  <c r="C309" i="2" a="1"/>
  <c r="C309" i="2" s="1"/>
  <c r="C105" i="2" a="1"/>
  <c r="C105" i="2" s="1"/>
  <c r="C175" i="2" a="1"/>
  <c r="C175" i="2" s="1"/>
  <c r="C17" i="2" a="1"/>
  <c r="C17" i="2" s="1"/>
  <c r="C335" i="2" a="1"/>
  <c r="C335" i="2" s="1"/>
  <c r="C82" i="2" a="1"/>
  <c r="C82" i="2" s="1"/>
  <c r="C416" i="2" a="1"/>
  <c r="C416" i="2" s="1"/>
  <c r="C310" i="2" a="1"/>
  <c r="C310" i="2" s="1"/>
  <c r="C83" i="2" a="1"/>
  <c r="C83" i="2" s="1"/>
  <c r="C52" i="2" a="1"/>
  <c r="C52" i="2" s="1"/>
  <c r="C3" i="2" a="1"/>
  <c r="C3" i="2" s="1"/>
  <c r="C176" i="2" a="1"/>
  <c r="C176" i="2" s="1"/>
  <c r="C286" i="2" a="1"/>
  <c r="C286" i="2" s="1"/>
  <c r="C199" i="2" a="1"/>
  <c r="C199" i="2" s="1"/>
  <c r="C470" i="2" a="1"/>
  <c r="C470" i="2" s="1"/>
  <c r="C148" i="2" a="1"/>
  <c r="C148" i="2" s="1"/>
  <c r="C264" i="2" a="1"/>
  <c r="C264" i="2" s="1"/>
  <c r="C18" i="2" a="1"/>
  <c r="C18" i="2" s="1"/>
  <c r="C133" i="2" a="1"/>
  <c r="C133" i="2" s="1"/>
  <c r="C241" i="2" a="1"/>
  <c r="C241" i="2" s="1"/>
  <c r="C42" i="2" a="1"/>
  <c r="C42" i="2" s="1"/>
  <c r="C106" i="2" a="1"/>
  <c r="C106" i="2" s="1"/>
  <c r="C453" i="2" a="1"/>
  <c r="C453" i="2" s="1"/>
  <c r="C471" i="2" a="1"/>
  <c r="C471" i="2" s="1"/>
  <c r="C356" i="2" a="1"/>
  <c r="C356" i="2" s="1"/>
  <c r="C2" i="2" a="1"/>
  <c r="C2" i="2" s="1"/>
  <c r="C200" i="2" a="1"/>
  <c r="C200" i="2" s="1"/>
  <c r="C118" i="2" a="1"/>
  <c r="C118" i="2" s="1"/>
  <c r="C417" i="2" a="1"/>
  <c r="C417" i="2" s="1"/>
  <c r="C201" i="2" a="1"/>
  <c r="C201" i="2" s="1"/>
  <c r="C53" i="2" a="1"/>
  <c r="C53" i="2" s="1"/>
  <c r="C418" i="2" a="1"/>
  <c r="C418" i="2" s="1"/>
  <c r="C177" i="2" a="1"/>
  <c r="C177" i="2" s="1"/>
  <c r="C357" i="2" a="1"/>
  <c r="C357" i="2" s="1"/>
  <c r="C31" i="2" a="1"/>
  <c r="C31" i="2" s="1"/>
  <c r="C323" i="2" a="1"/>
  <c r="C323" i="2" s="1"/>
  <c r="C19" i="2" a="1"/>
  <c r="C19" i="2" s="1"/>
  <c r="C419" i="2" a="1"/>
  <c r="C419" i="2" s="1"/>
  <c r="C242" i="2" a="1"/>
  <c r="C242" i="2" s="1"/>
  <c r="C336" i="2" a="1"/>
  <c r="C336" i="2" s="1"/>
  <c r="C337" i="2" a="1"/>
  <c r="C337" i="2" s="1"/>
  <c r="C107" i="2" a="1"/>
  <c r="C107" i="2" s="1"/>
  <c r="C338" i="2" a="1"/>
  <c r="C338" i="2" s="1"/>
  <c r="C20" i="2" a="1"/>
  <c r="C20" i="2" s="1"/>
  <c r="C339" i="2" a="1"/>
  <c r="C339" i="2" s="1"/>
  <c r="C108" i="2" a="1"/>
  <c r="C108" i="2" s="1"/>
  <c r="C420" i="2" a="1"/>
  <c r="C420" i="2" s="1"/>
  <c r="C265" i="2" a="1"/>
  <c r="C265" i="2" s="1"/>
  <c r="C84" i="2" a="1"/>
  <c r="C84" i="2" s="1"/>
  <c r="C249" i="2" a="1"/>
  <c r="C249" i="2" s="1"/>
  <c r="C43" i="2" a="1"/>
  <c r="C43" i="2" s="1"/>
  <c r="C250" i="2" a="1"/>
  <c r="C250" i="2" s="1"/>
  <c r="C251" i="2" a="1"/>
  <c r="C251" i="2" s="1"/>
  <c r="C202" i="2" a="1"/>
  <c r="C202" i="2" s="1"/>
  <c r="C421" i="2" a="1"/>
  <c r="C421" i="2" s="1"/>
  <c r="C329" i="2" a="1"/>
  <c r="C329" i="2" s="1"/>
  <c r="C134" i="2" a="1"/>
  <c r="C134" i="2" s="1"/>
  <c r="C149" i="2" a="1"/>
  <c r="C149" i="2" s="1"/>
  <c r="C24" i="2" a="1"/>
  <c r="C24" i="2" s="1"/>
  <c r="C287" i="2" a="1"/>
  <c r="C287" i="2" s="1"/>
  <c r="C422" i="2" a="1"/>
  <c r="C422" i="2" s="1"/>
  <c r="C340" i="2" a="1"/>
  <c r="C340" i="2" s="1"/>
  <c r="C119" i="2" a="1"/>
  <c r="C119" i="2" s="1"/>
  <c r="C150" i="2" a="1"/>
  <c r="C150" i="2" s="1"/>
  <c r="C120" i="2" a="1"/>
  <c r="C120" i="2" s="1"/>
  <c r="C26" i="2" a="1"/>
  <c r="C26" i="2" s="1"/>
  <c r="C423" i="2" a="1"/>
  <c r="C423" i="2" s="1"/>
  <c r="C85" i="2" a="1"/>
  <c r="C85" i="2" s="1"/>
  <c r="C44" i="2" a="1"/>
  <c r="C44" i="2" s="1"/>
  <c r="C151" i="2" a="1"/>
  <c r="C151" i="2" s="1"/>
  <c r="C75" i="2" a="1"/>
  <c r="C75" i="2" s="1"/>
  <c r="C266" i="2" a="1"/>
  <c r="C266" i="2" s="1"/>
  <c r="C311" i="2" a="1"/>
  <c r="C311" i="2" s="1"/>
  <c r="C121" i="2" a="1"/>
  <c r="C121" i="2" s="1"/>
  <c r="C324" i="2" a="1"/>
  <c r="C324" i="2" s="1"/>
  <c r="C358" i="2" a="1"/>
  <c r="C358" i="2" s="1"/>
  <c r="C203" i="2" a="1"/>
  <c r="C203" i="2" s="1"/>
  <c r="C204" i="2" a="1"/>
  <c r="C204" i="2" s="1"/>
  <c r="C138" i="2" a="1"/>
  <c r="C138" i="2" s="1"/>
  <c r="C424" i="2" a="1"/>
  <c r="C424" i="2" s="1"/>
  <c r="C122" i="2" a="1"/>
  <c r="C122" i="2" s="1"/>
  <c r="C205" i="2" a="1"/>
  <c r="C205" i="2" s="1"/>
  <c r="C227" i="2" a="1"/>
  <c r="C227" i="2" s="1"/>
  <c r="C267" i="2" a="1"/>
  <c r="C267" i="2" s="1"/>
  <c r="C425" i="2" a="1"/>
  <c r="C425" i="2" s="1"/>
  <c r="C22" i="2" a="1"/>
  <c r="C22" i="2" s="1"/>
  <c r="C288" i="2" a="1"/>
  <c r="C288" i="2" s="1"/>
  <c r="C206" i="2" a="1"/>
  <c r="C206" i="2" s="1"/>
  <c r="C391" i="2" a="1"/>
  <c r="C391" i="2" s="1"/>
  <c r="C426" i="2" a="1"/>
  <c r="C426" i="2" s="1"/>
  <c r="C109" i="2" a="1"/>
  <c r="C109" i="2" s="1"/>
  <c r="C427" i="2" a="1"/>
  <c r="C427" i="2" s="1"/>
  <c r="C45" i="2" a="1"/>
  <c r="C45" i="2" s="1"/>
  <c r="C392" i="2" a="1"/>
  <c r="C392" i="2" s="1"/>
  <c r="C123" i="2" a="1"/>
  <c r="C123" i="2" s="1"/>
  <c r="C359" i="2" a="1"/>
  <c r="C359" i="2" s="1"/>
  <c r="C178" i="2" a="1"/>
  <c r="C178" i="2" s="1"/>
  <c r="C110" i="2" a="1"/>
  <c r="C110" i="2" s="1"/>
  <c r="C86" i="2" a="1"/>
  <c r="C86" i="2" s="1"/>
  <c r="C289" i="2" a="1"/>
  <c r="C289" i="2" s="1"/>
  <c r="C235" i="2" a="1"/>
  <c r="C235" i="2" s="1"/>
  <c r="C87" i="2" a="1"/>
  <c r="C87" i="2" s="1"/>
  <c r="C228" i="2" a="1"/>
  <c r="C228" i="2" s="1"/>
  <c r="C152" i="2" a="1"/>
  <c r="C152" i="2" s="1"/>
  <c r="C428" i="2" a="1"/>
  <c r="C428" i="2" s="1"/>
  <c r="C153" i="2" a="1"/>
  <c r="C153" i="2" s="1"/>
  <c r="C179" i="2" a="1"/>
  <c r="C179" i="2" s="1"/>
  <c r="C360" i="2" a="1"/>
  <c r="C360" i="2" s="1"/>
  <c r="C207" i="2" a="1"/>
  <c r="C207" i="2" s="1"/>
  <c r="C268" i="2" a="1"/>
  <c r="C268" i="2" s="1"/>
  <c r="C269" i="2" a="1"/>
  <c r="C269" i="2" s="1"/>
  <c r="C46" i="2" a="1"/>
  <c r="C46" i="2" s="1"/>
  <c r="C472" i="2" a="1"/>
  <c r="C472" i="2" s="1"/>
  <c r="C208" i="2" a="1"/>
  <c r="C208" i="2" s="1"/>
  <c r="C361" i="2" a="1"/>
  <c r="C361" i="2" s="1"/>
  <c r="C454" i="2" a="1"/>
  <c r="C454" i="2" s="1"/>
  <c r="C111" i="2" a="1"/>
  <c r="C111" i="2" s="1"/>
  <c r="C209" i="2" a="1"/>
  <c r="C209" i="2" s="1"/>
  <c r="C135" i="2" a="1"/>
  <c r="C135" i="2" s="1"/>
  <c r="C124" i="2" a="1"/>
  <c r="C124" i="2" s="1"/>
  <c r="C28" i="2" a="1"/>
  <c r="C28" i="2" s="1"/>
  <c r="C473" i="2" a="1"/>
  <c r="C473" i="2" s="1"/>
  <c r="C270" i="2" a="1"/>
  <c r="C270" i="2" s="1"/>
  <c r="C455" i="2" a="1"/>
  <c r="C455" i="2" s="1"/>
  <c r="C393" i="2" a="1"/>
  <c r="C393" i="2" s="1"/>
  <c r="C362" i="2" a="1"/>
  <c r="C362" i="2" s="1"/>
  <c r="C429" i="2" a="1"/>
  <c r="C429" i="2" s="1"/>
  <c r="C112" i="2" a="1"/>
  <c r="C112" i="2" s="1"/>
  <c r="C456" i="2" a="1"/>
  <c r="C456" i="2" s="1"/>
  <c r="C325" i="2" a="1"/>
  <c r="C325" i="2" s="1"/>
  <c r="C229" i="2" a="1"/>
  <c r="C229" i="2" s="1"/>
  <c r="C243" i="2" a="1"/>
  <c r="C243" i="2" s="1"/>
  <c r="C457" i="2" a="1"/>
  <c r="C457" i="2" s="1"/>
  <c r="C32" i="2" a="1"/>
  <c r="C32" i="2" s="1"/>
  <c r="C54" i="2" a="1"/>
  <c r="C54" i="2" s="1"/>
  <c r="C394" i="2" a="1"/>
  <c r="C394" i="2" s="1"/>
  <c r="C430" i="2" a="1"/>
  <c r="C430" i="2" s="1"/>
  <c r="C290" i="2" a="1"/>
  <c r="C290" i="2" s="1"/>
  <c r="C88" i="2" a="1"/>
  <c r="C88" i="2" s="1"/>
  <c r="C291" i="2" a="1"/>
  <c r="C291" i="2" s="1"/>
  <c r="C474" i="2" a="1"/>
  <c r="C474" i="2" s="1"/>
  <c r="C363" i="2" a="1"/>
  <c r="C363" i="2" s="1"/>
  <c r="C312" i="2" a="1"/>
  <c r="C312" i="2" s="1"/>
  <c r="C89" i="2" a="1"/>
  <c r="C89" i="2" s="1"/>
  <c r="C364" i="2" a="1"/>
  <c r="C364" i="2" s="1"/>
  <c r="C47" i="2" a="1"/>
  <c r="C47" i="2" s="1"/>
  <c r="C154" i="2" a="1"/>
  <c r="C154" i="2" s="1"/>
  <c r="C180" i="2" a="1"/>
  <c r="C180" i="2" s="1"/>
  <c r="C125" i="2" a="1"/>
  <c r="C125" i="2" s="1"/>
  <c r="C139" i="2" a="1"/>
  <c r="C139" i="2" s="1"/>
  <c r="C313" i="2" a="1"/>
  <c r="C313" i="2" s="1"/>
  <c r="C292" i="2" a="1"/>
  <c r="C292" i="2" s="1"/>
  <c r="C210" i="2" a="1"/>
  <c r="C210" i="2" s="1"/>
  <c r="C181" i="2" a="1"/>
  <c r="C181" i="2" s="1"/>
  <c r="C365" i="2" a="1"/>
  <c r="C365" i="2" s="1"/>
  <c r="C366" i="2" a="1"/>
  <c r="C366" i="2" s="1"/>
  <c r="C395" i="2" a="1"/>
  <c r="C395" i="2" s="1"/>
  <c r="C293" i="2" a="1"/>
  <c r="C293" i="2" s="1"/>
  <c r="C475" i="2" a="1"/>
  <c r="C475" i="2" s="1"/>
  <c r="C458" i="2" a="1"/>
  <c r="C458" i="2" s="1"/>
  <c r="C62" i="2" a="1"/>
  <c r="C62" i="2" s="1"/>
  <c r="C61" i="2" a="1"/>
  <c r="C61" i="2" s="1"/>
  <c r="C55" i="2" a="1"/>
  <c r="C55" i="2" s="1"/>
  <c r="C367" i="2" a="1"/>
  <c r="C367" i="2" s="1"/>
  <c r="C396" i="2" a="1"/>
  <c r="C396" i="2" s="1"/>
  <c r="C155" i="2" a="1"/>
  <c r="C155" i="2" s="1"/>
  <c r="C271" i="2" a="1"/>
  <c r="C271" i="2" s="1"/>
  <c r="C341" i="2" a="1"/>
  <c r="C341" i="2" s="1"/>
  <c r="C397" i="2" a="1"/>
  <c r="C397" i="2" s="1"/>
  <c r="C33" i="2" a="1"/>
  <c r="C33" i="2" s="1"/>
  <c r="C314" i="2" a="1"/>
  <c r="C314" i="2" s="1"/>
  <c r="C272" i="2" a="1"/>
  <c r="C272" i="2" s="1"/>
  <c r="C211" i="2" a="1"/>
  <c r="C211" i="2" s="1"/>
  <c r="C294" i="2" a="1"/>
  <c r="C294" i="2" s="1"/>
  <c r="C368" i="2" a="1"/>
  <c r="C368" i="2" s="1"/>
  <c r="C369" i="2" a="1"/>
  <c r="C369" i="2" s="1"/>
  <c r="C140" i="2" a="1"/>
  <c r="C140" i="2" s="1"/>
  <c r="C156" i="2" a="1"/>
  <c r="C156" i="2" s="1"/>
  <c r="C236" i="2" a="1"/>
  <c r="C236" i="2" s="1"/>
  <c r="C342" i="2" a="1"/>
  <c r="C342" i="2" s="1"/>
  <c r="C370" i="2" a="1"/>
  <c r="C370" i="2" s="1"/>
  <c r="C230" i="2" a="1"/>
  <c r="C230" i="2" s="1"/>
  <c r="C157" i="2" a="1"/>
  <c r="C157" i="2" s="1"/>
  <c r="C315" i="2" a="1"/>
  <c r="C315" i="2" s="1"/>
  <c r="C182" i="2" a="1"/>
  <c r="C182" i="2" s="1"/>
  <c r="C459" i="2" a="1"/>
  <c r="C459" i="2" s="1"/>
  <c r="C460" i="2" a="1"/>
  <c r="C460" i="2" s="1"/>
  <c r="C76" i="2" a="1"/>
  <c r="C76" i="2" s="1"/>
  <c r="C77" i="2" a="1"/>
  <c r="C77" i="2" s="1"/>
  <c r="C90" i="2" a="1"/>
  <c r="C90" i="2" s="1"/>
  <c r="C295" i="2" a="1"/>
  <c r="C295" i="2" s="1"/>
  <c r="C113" i="2" a="1"/>
  <c r="C113" i="2" s="1"/>
  <c r="C273" i="2" a="1"/>
  <c r="C273" i="2" s="1"/>
  <c r="C212" i="2" a="1"/>
  <c r="C212" i="2" s="1"/>
  <c r="C296" i="2" a="1"/>
  <c r="C296" i="2" s="1"/>
  <c r="C7" i="2" a="1"/>
  <c r="C7" i="2" s="1"/>
  <c r="C431" i="2" a="1"/>
  <c r="C431" i="2" s="1"/>
  <c r="C34" i="2" a="1"/>
  <c r="C34" i="2" s="1"/>
  <c r="C432" i="2" a="1"/>
  <c r="C432" i="2" s="1"/>
  <c r="C63" i="2" a="1"/>
  <c r="C63" i="2" s="1"/>
  <c r="C237" i="2" a="1"/>
  <c r="C237" i="2" s="1"/>
  <c r="C213" i="2" a="1"/>
  <c r="C213" i="2" s="1"/>
  <c r="C126" i="2" a="1"/>
  <c r="C126" i="2" s="1"/>
  <c r="C183" i="2" a="1"/>
  <c r="C183" i="2" s="1"/>
  <c r="C184" i="2" a="1"/>
  <c r="C184" i="2" s="1"/>
  <c r="C64" i="2" a="1"/>
  <c r="C64" i="2" s="1"/>
  <c r="C343" i="2" a="1"/>
  <c r="C343" i="2" s="1"/>
  <c r="C56" i="2" a="1"/>
  <c r="C56" i="2" s="1"/>
  <c r="C398" i="2" a="1"/>
  <c r="C398" i="2" s="1"/>
  <c r="C35" i="2" a="1"/>
  <c r="C35" i="2" s="1"/>
  <c r="C316" i="2" a="1"/>
  <c r="C316" i="2" s="1"/>
  <c r="C399" i="2" a="1"/>
  <c r="C399" i="2" s="1"/>
  <c r="C433" i="2" a="1"/>
  <c r="C433" i="2" s="1"/>
  <c r="C127" i="2" a="1"/>
  <c r="C127" i="2" s="1"/>
  <c r="C48" i="2" a="1"/>
  <c r="C48" i="2" s="1"/>
  <c r="C317" i="2" a="1"/>
  <c r="C317" i="2" s="1"/>
  <c r="C158" i="2" a="1"/>
  <c r="C158" i="2" s="1"/>
  <c r="C344" i="2" a="1"/>
  <c r="C344" i="2" s="1"/>
  <c r="C21" i="2" a="1"/>
  <c r="C21" i="2" s="1"/>
  <c r="C400" i="2" a="1"/>
  <c r="C400" i="2" s="1"/>
  <c r="C401" i="2" a="1"/>
  <c r="C401" i="2" s="1"/>
  <c r="C159" i="2" a="1"/>
  <c r="C159" i="2" s="1"/>
  <c r="C252" i="2" a="1"/>
  <c r="C252" i="2" s="1"/>
  <c r="C434" i="2" a="1"/>
  <c r="C434" i="2" s="1"/>
  <c r="C185" i="2" a="1"/>
  <c r="C185" i="2" s="1"/>
  <c r="C91" i="2" a="1"/>
  <c r="C91" i="2" s="1"/>
  <c r="C461" i="2" a="1"/>
  <c r="C461" i="2" s="1"/>
  <c r="C13" i="2" a="1"/>
  <c r="C13" i="2" s="1"/>
  <c r="C345" i="2" a="1"/>
  <c r="C345" i="2" s="1"/>
  <c r="C160" i="2" a="1"/>
  <c r="C160" i="2" s="1"/>
  <c r="C57" i="2" a="1"/>
  <c r="C57" i="2" s="1"/>
  <c r="C476" i="2" a="1"/>
  <c r="C476" i="2" s="1"/>
  <c r="C371" i="2" a="1"/>
  <c r="C371" i="2" s="1"/>
  <c r="C318" i="2" a="1"/>
  <c r="C318" i="2" s="1"/>
  <c r="C4" i="2" a="1"/>
  <c r="C4" i="2" s="1"/>
  <c r="C65" i="2" a="1"/>
  <c r="C65" i="2" s="1"/>
  <c r="C8" i="2" a="1"/>
  <c r="C8" i="2" s="1"/>
  <c r="C214" i="2" a="1"/>
  <c r="C214" i="2" s="1"/>
  <c r="C402" i="2" a="1"/>
  <c r="C402" i="2" s="1"/>
  <c r="C319" i="2" a="1"/>
  <c r="C319" i="2" s="1"/>
  <c r="C128" i="2" a="1"/>
  <c r="C128" i="2" s="1"/>
  <c r="C403" i="2" a="1"/>
  <c r="C403" i="2" s="1"/>
  <c r="C215" i="2" a="1"/>
  <c r="C215" i="2" s="1"/>
  <c r="C92" i="2" a="1"/>
  <c r="C92" i="2" s="1"/>
  <c r="C327" i="2" a="1"/>
  <c r="C327" i="2" s="1"/>
  <c r="C36" i="2" a="1"/>
  <c r="C36" i="2" s="1"/>
  <c r="C462" i="2" a="1"/>
  <c r="C462" i="2" s="1"/>
  <c r="C244" i="2" a="1"/>
  <c r="C244" i="2" s="1"/>
  <c r="C477" i="2" a="1"/>
  <c r="C477" i="2" s="1"/>
  <c r="C478" i="2" a="1"/>
  <c r="C478" i="2" s="1"/>
  <c r="C435" i="2" a="1"/>
  <c r="C435" i="2" s="1"/>
  <c r="C297" i="2" a="1"/>
  <c r="C297" i="2" s="1"/>
  <c r="C216" i="2" a="1"/>
  <c r="C216" i="2" s="1"/>
  <c r="C298" i="2" a="1"/>
  <c r="C298" i="2" s="1"/>
  <c r="C93" i="2" a="1"/>
  <c r="C93" i="2" s="1"/>
  <c r="C330" i="2" a="1"/>
  <c r="C330" i="2" s="1"/>
  <c r="F217" i="2" a="1"/>
  <c r="F217" i="2" s="1"/>
  <c r="F218" i="2" a="1"/>
  <c r="F218" i="2" s="1"/>
  <c r="F161" i="2" a="1"/>
  <c r="F161" i="2" s="1"/>
  <c r="F129" i="2" a="1"/>
  <c r="F129" i="2" s="1"/>
  <c r="F66" i="2" a="1"/>
  <c r="F66" i="2" s="1"/>
  <c r="F299" i="2" a="1"/>
  <c r="F299" i="2" s="1"/>
  <c r="F94" i="2" a="1"/>
  <c r="F94" i="2" s="1"/>
  <c r="F130" i="2" a="1"/>
  <c r="F130" i="2" s="1"/>
  <c r="F219" i="2" a="1"/>
  <c r="F219" i="2" s="1"/>
  <c r="F231" i="2" a="1"/>
  <c r="F231" i="2" s="1"/>
  <c r="F253" i="2" a="1"/>
  <c r="F253" i="2" s="1"/>
  <c r="F331" i="2" a="1"/>
  <c r="F331" i="2" s="1"/>
  <c r="F67" i="2" a="1"/>
  <c r="F67" i="2" s="1"/>
  <c r="F346" i="2" a="1"/>
  <c r="F346" i="2" s="1"/>
  <c r="F274" i="2" a="1"/>
  <c r="F274" i="2" s="1"/>
  <c r="F347" i="2" a="1"/>
  <c r="F347" i="2" s="1"/>
  <c r="F348" i="2" a="1"/>
  <c r="F348" i="2" s="1"/>
  <c r="F300" i="2" a="1"/>
  <c r="F300" i="2" s="1"/>
  <c r="F95" i="2" a="1"/>
  <c r="F95" i="2" s="1"/>
  <c r="F136" i="2" a="1"/>
  <c r="F136" i="2" s="1"/>
  <c r="F58" i="2" a="1"/>
  <c r="F58" i="2" s="1"/>
  <c r="F463" i="2" a="1"/>
  <c r="F463" i="2" s="1"/>
  <c r="F404" i="2" a="1"/>
  <c r="F404" i="2" s="1"/>
  <c r="F141" i="2" a="1"/>
  <c r="F141" i="2" s="1"/>
  <c r="F275" i="2" a="1"/>
  <c r="F275" i="2" s="1"/>
  <c r="F68" i="2" a="1"/>
  <c r="F68" i="2" s="1"/>
  <c r="F405" i="2" a="1"/>
  <c r="F405" i="2" s="1"/>
  <c r="F131" i="2" a="1"/>
  <c r="F131" i="2" s="1"/>
  <c r="F162" i="2" a="1"/>
  <c r="F162" i="2" s="1"/>
  <c r="F436" i="2" a="1"/>
  <c r="F436" i="2" s="1"/>
  <c r="F326" i="2" a="1"/>
  <c r="F326" i="2" s="1"/>
  <c r="F437" i="2" a="1"/>
  <c r="F437" i="2" s="1"/>
  <c r="F78" i="2" a="1"/>
  <c r="F78" i="2" s="1"/>
  <c r="F464" i="2" a="1"/>
  <c r="F464" i="2" s="1"/>
  <c r="F220" i="2" a="1"/>
  <c r="F220" i="2" s="1"/>
  <c r="F254" i="2" a="1"/>
  <c r="F254" i="2" s="1"/>
  <c r="F221" i="2" a="1"/>
  <c r="F221" i="2" s="1"/>
  <c r="F255" i="2" a="1"/>
  <c r="F255" i="2" s="1"/>
  <c r="F301" i="2" a="1"/>
  <c r="F301" i="2" s="1"/>
  <c r="F302" i="2" a="1"/>
  <c r="F302" i="2" s="1"/>
  <c r="F372" i="2" a="1"/>
  <c r="F372" i="2" s="1"/>
  <c r="F406" i="2" a="1"/>
  <c r="F406" i="2" s="1"/>
  <c r="F373" i="2" a="1"/>
  <c r="F373" i="2" s="1"/>
  <c r="F96" i="2" a="1"/>
  <c r="F96" i="2" s="1"/>
  <c r="F163" i="2" a="1"/>
  <c r="F163" i="2" s="1"/>
  <c r="F374" i="2" a="1"/>
  <c r="F374" i="2" s="1"/>
  <c r="F5" i="2" a="1"/>
  <c r="F5" i="2" s="1"/>
  <c r="F303" i="2" a="1"/>
  <c r="F303" i="2" s="1"/>
  <c r="F37" i="2" a="1"/>
  <c r="F37" i="2" s="1"/>
  <c r="F69" i="2" a="1"/>
  <c r="F69" i="2" s="1"/>
  <c r="F375" i="2" a="1"/>
  <c r="F375" i="2" s="1"/>
  <c r="F304" i="2" a="1"/>
  <c r="F304" i="2" s="1"/>
  <c r="F376" i="2" a="1"/>
  <c r="F376" i="2" s="1"/>
  <c r="F256" i="2" a="1"/>
  <c r="F256" i="2" s="1"/>
  <c r="F14" i="2" a="1"/>
  <c r="F14" i="2" s="1"/>
  <c r="F438" i="2" a="1"/>
  <c r="F438" i="2" s="1"/>
  <c r="F439" i="2" a="1"/>
  <c r="F439" i="2" s="1"/>
  <c r="F440" i="2" a="1"/>
  <c r="F440" i="2" s="1"/>
  <c r="F97" i="2" a="1"/>
  <c r="F97" i="2" s="1"/>
  <c r="F377" i="2" a="1"/>
  <c r="F377" i="2" s="1"/>
  <c r="F15" i="2" a="1"/>
  <c r="F15" i="2" s="1"/>
  <c r="F164" i="2" a="1"/>
  <c r="F164" i="2" s="1"/>
  <c r="F332" i="2" a="1"/>
  <c r="F332" i="2" s="1"/>
  <c r="F142" i="2" a="1"/>
  <c r="F142" i="2" s="1"/>
  <c r="F186" i="2" a="1"/>
  <c r="F186" i="2" s="1"/>
  <c r="F441" i="2" a="1"/>
  <c r="F441" i="2" s="1"/>
  <c r="F23" i="2" a="1"/>
  <c r="F23" i="2" s="1"/>
  <c r="F38" i="2" a="1"/>
  <c r="F38" i="2" s="1"/>
  <c r="F98" i="2" a="1"/>
  <c r="F98" i="2" s="1"/>
  <c r="F187" i="2" a="1"/>
  <c r="F187" i="2" s="1"/>
  <c r="F222" i="2" a="1"/>
  <c r="F222" i="2" s="1"/>
  <c r="F188" i="2" a="1"/>
  <c r="F188" i="2" s="1"/>
  <c r="F143" i="2" a="1"/>
  <c r="F143" i="2" s="1"/>
  <c r="F276" i="2" a="1"/>
  <c r="F276" i="2" s="1"/>
  <c r="F407" i="2" a="1"/>
  <c r="F407" i="2" s="1"/>
  <c r="F442" i="2" a="1"/>
  <c r="F442" i="2" s="1"/>
  <c r="F25" i="2" a="1"/>
  <c r="F25" i="2" s="1"/>
  <c r="F465" i="2" a="1"/>
  <c r="F465" i="2" s="1"/>
  <c r="F245" i="2" a="1"/>
  <c r="F245" i="2" s="1"/>
  <c r="F277" i="2" a="1"/>
  <c r="F277" i="2" s="1"/>
  <c r="F278" i="2" a="1"/>
  <c r="F278" i="2" s="1"/>
  <c r="F223" i="2" a="1"/>
  <c r="F223" i="2" s="1"/>
  <c r="F328" i="2" a="1"/>
  <c r="F328" i="2" s="1"/>
  <c r="F378" i="2" a="1"/>
  <c r="F378" i="2" s="1"/>
  <c r="F165" i="2" a="1"/>
  <c r="F165" i="2" s="1"/>
  <c r="F27" i="2" a="1"/>
  <c r="F27" i="2" s="1"/>
  <c r="F189" i="2" a="1"/>
  <c r="F189" i="2" s="1"/>
  <c r="F379" i="2" a="1"/>
  <c r="F379" i="2" s="1"/>
  <c r="F380" i="2" a="1"/>
  <c r="F380" i="2" s="1"/>
  <c r="F99" i="2" a="1"/>
  <c r="F99" i="2" s="1"/>
  <c r="F70" i="2" a="1"/>
  <c r="F70" i="2" s="1"/>
  <c r="F279" i="2" a="1"/>
  <c r="F279" i="2" s="1"/>
  <c r="F320" i="2" a="1"/>
  <c r="F320" i="2" s="1"/>
  <c r="F39" i="2" a="1"/>
  <c r="F39" i="2" s="1"/>
  <c r="F257" i="2" a="1"/>
  <c r="F257" i="2" s="1"/>
  <c r="F443" i="2" a="1"/>
  <c r="F443" i="2" s="1"/>
  <c r="F114" i="2" a="1"/>
  <c r="F114" i="2" s="1"/>
  <c r="F190" i="2" a="1"/>
  <c r="F190" i="2" s="1"/>
  <c r="F144" i="2" a="1"/>
  <c r="F144" i="2" s="1"/>
  <c r="F40" i="2" a="1"/>
  <c r="F40" i="2" s="1"/>
  <c r="F240" i="2" a="1"/>
  <c r="F240" i="2" s="1"/>
  <c r="F100" i="2" a="1"/>
  <c r="F100" i="2" s="1"/>
  <c r="F381" i="2" a="1"/>
  <c r="F381" i="2" s="1"/>
  <c r="F408" i="2" a="1"/>
  <c r="F408" i="2" s="1"/>
  <c r="F246" i="2" a="1"/>
  <c r="F246" i="2" s="1"/>
  <c r="F305" i="2" a="1"/>
  <c r="F305" i="2" s="1"/>
  <c r="F247" i="2" a="1"/>
  <c r="F247" i="2" s="1"/>
  <c r="F166" i="2" a="1"/>
  <c r="F166" i="2" s="1"/>
  <c r="F280" i="2" a="1"/>
  <c r="F280" i="2" s="1"/>
  <c r="F409" i="2" a="1"/>
  <c r="F409" i="2" s="1"/>
  <c r="F137" i="2" a="1"/>
  <c r="F137" i="2" s="1"/>
  <c r="F382" i="2" a="1"/>
  <c r="F382" i="2" s="1"/>
  <c r="F306" i="2" a="1"/>
  <c r="F306" i="2" s="1"/>
  <c r="F307" i="2" a="1"/>
  <c r="F307" i="2" s="1"/>
  <c r="F167" i="2" a="1"/>
  <c r="F167" i="2" s="1"/>
  <c r="F258" i="2" a="1"/>
  <c r="F258" i="2" s="1"/>
  <c r="F71" i="2" a="1"/>
  <c r="F71" i="2" s="1"/>
  <c r="F321" i="2" a="1"/>
  <c r="F321" i="2" s="1"/>
  <c r="F115" i="2" a="1"/>
  <c r="F115" i="2" s="1"/>
  <c r="F349" i="2" a="1"/>
  <c r="F349" i="2" s="1"/>
  <c r="F168" i="2" a="1"/>
  <c r="F168" i="2" s="1"/>
  <c r="F259" i="2" a="1"/>
  <c r="F259" i="2" s="1"/>
  <c r="F224" i="2" a="1"/>
  <c r="F224" i="2" s="1"/>
  <c r="F444" i="2" a="1"/>
  <c r="F444" i="2" s="1"/>
  <c r="F350" i="2" a="1"/>
  <c r="F350" i="2" s="1"/>
  <c r="F72" i="2" a="1"/>
  <c r="F72" i="2" s="1"/>
  <c r="F445" i="2" a="1"/>
  <c r="F445" i="2" s="1"/>
  <c r="F446" i="2" a="1"/>
  <c r="F446" i="2" s="1"/>
  <c r="F410" i="2" a="1"/>
  <c r="F410" i="2" s="1"/>
  <c r="F447" i="2" a="1"/>
  <c r="F447" i="2" s="1"/>
  <c r="F448" i="2" a="1"/>
  <c r="F448" i="2" s="1"/>
  <c r="F225" i="2" a="1"/>
  <c r="F225" i="2" s="1"/>
  <c r="F281" i="2" a="1"/>
  <c r="F281" i="2" s="1"/>
  <c r="F449" i="2" a="1"/>
  <c r="F449" i="2" s="1"/>
  <c r="F308" i="2" a="1"/>
  <c r="F308" i="2" s="1"/>
  <c r="F383" i="2" a="1"/>
  <c r="F383" i="2" s="1"/>
  <c r="F411" i="2" a="1"/>
  <c r="F411" i="2" s="1"/>
  <c r="F384" i="2" a="1"/>
  <c r="F384" i="2" s="1"/>
  <c r="F59" i="2" a="1"/>
  <c r="F59" i="2" s="1"/>
  <c r="F16" i="2" a="1"/>
  <c r="F16" i="2" s="1"/>
  <c r="F238" i="2" a="1"/>
  <c r="F238" i="2" s="1"/>
  <c r="F191" i="2" a="1"/>
  <c r="F191" i="2" s="1"/>
  <c r="F351" i="2" a="1"/>
  <c r="F351" i="2" s="1"/>
  <c r="F352" i="2" a="1"/>
  <c r="F352" i="2" s="1"/>
  <c r="F145" i="2" a="1"/>
  <c r="F145" i="2" s="1"/>
  <c r="F169" i="2" a="1"/>
  <c r="F169" i="2" s="1"/>
  <c r="F79" i="2" a="1"/>
  <c r="F79" i="2" s="1"/>
  <c r="F10" i="2" a="1"/>
  <c r="F10" i="2" s="1"/>
  <c r="F170" i="2" a="1"/>
  <c r="F170" i="2" s="1"/>
  <c r="F226" i="2" a="1"/>
  <c r="F226" i="2" s="1"/>
  <c r="F466" i="2" a="1"/>
  <c r="F466" i="2" s="1"/>
  <c r="F232" i="2" a="1"/>
  <c r="F232" i="2" s="1"/>
  <c r="F171" i="2" a="1"/>
  <c r="F171" i="2" s="1"/>
  <c r="F116" i="2" a="1"/>
  <c r="F116" i="2" s="1"/>
  <c r="F353" i="2" a="1"/>
  <c r="F353" i="2" s="1"/>
  <c r="F412" i="2" a="1"/>
  <c r="F412" i="2" s="1"/>
  <c r="F413" i="2" a="1"/>
  <c r="F413" i="2" s="1"/>
  <c r="F49" i="2" a="1"/>
  <c r="F49" i="2" s="1"/>
  <c r="F132" i="2" a="1"/>
  <c r="F132" i="2" s="1"/>
  <c r="F172" i="2" a="1"/>
  <c r="F172" i="2" s="1"/>
  <c r="F333" i="2" a="1"/>
  <c r="F333" i="2" s="1"/>
  <c r="F192" i="2" a="1"/>
  <c r="F192" i="2" s="1"/>
  <c r="F467" i="2" a="1"/>
  <c r="F467" i="2" s="1"/>
  <c r="F146" i="2" a="1"/>
  <c r="F146" i="2" s="1"/>
  <c r="F322" i="2" a="1"/>
  <c r="F322" i="2" s="1"/>
  <c r="F101" i="2" a="1"/>
  <c r="F101" i="2" s="1"/>
  <c r="F29" i="2" a="1"/>
  <c r="F29" i="2" s="1"/>
  <c r="F414" i="2" a="1"/>
  <c r="F414" i="2" s="1"/>
  <c r="F73" i="2" a="1"/>
  <c r="F73" i="2" s="1"/>
  <c r="F11" i="2" a="1"/>
  <c r="F11" i="2" s="1"/>
  <c r="F147" i="2" a="1"/>
  <c r="F147" i="2" s="1"/>
  <c r="F334" i="2" a="1"/>
  <c r="F334" i="2" s="1"/>
  <c r="F74" i="2" a="1"/>
  <c r="F74" i="2" s="1"/>
  <c r="F41" i="2" a="1"/>
  <c r="F41" i="2" s="1"/>
  <c r="F354" i="2" a="1"/>
  <c r="F354" i="2" s="1"/>
  <c r="F260" i="2" a="1"/>
  <c r="F260" i="2" s="1"/>
  <c r="F385" i="2" a="1"/>
  <c r="F385" i="2" s="1"/>
  <c r="F173" i="2" a="1"/>
  <c r="F173" i="2" s="1"/>
  <c r="F117" i="2" a="1"/>
  <c r="F117" i="2" s="1"/>
  <c r="F450" i="2" a="1"/>
  <c r="F450" i="2" s="1"/>
  <c r="F193" i="2" a="1"/>
  <c r="F193" i="2" s="1"/>
  <c r="F386" i="2" a="1"/>
  <c r="F386" i="2" s="1"/>
  <c r="F50" i="2" a="1"/>
  <c r="F50" i="2" s="1"/>
  <c r="F387" i="2" a="1"/>
  <c r="F387" i="2" s="1"/>
  <c r="F239" i="2" a="1"/>
  <c r="F239" i="2" s="1"/>
  <c r="F468" i="2" a="1"/>
  <c r="F468" i="2" s="1"/>
  <c r="F261" i="2" a="1"/>
  <c r="F261" i="2" s="1"/>
  <c r="F6" i="2" a="1"/>
  <c r="F6" i="2" s="1"/>
  <c r="F30" i="2" a="1"/>
  <c r="F30" i="2" s="1"/>
  <c r="F102" i="2" a="1"/>
  <c r="F102" i="2" s="1"/>
  <c r="F415" i="2" a="1"/>
  <c r="F415" i="2" s="1"/>
  <c r="F80" i="2" a="1"/>
  <c r="F80" i="2" s="1"/>
  <c r="F103" i="2" a="1"/>
  <c r="F103" i="2" s="1"/>
  <c r="F282" i="2" a="1"/>
  <c r="F282" i="2" s="1"/>
  <c r="F233" i="2" a="1"/>
  <c r="F233" i="2" s="1"/>
  <c r="F262" i="2" a="1"/>
  <c r="F262" i="2" s="1"/>
  <c r="F60" i="2" a="1"/>
  <c r="F60" i="2" s="1"/>
  <c r="F248" i="2" a="1"/>
  <c r="F248" i="2" s="1"/>
  <c r="F81" i="2" a="1"/>
  <c r="F81" i="2" s="1"/>
  <c r="F388" i="2" a="1"/>
  <c r="F388" i="2" s="1"/>
  <c r="F469" i="2" a="1"/>
  <c r="F469" i="2" s="1"/>
  <c r="F194" i="2" a="1"/>
  <c r="F194" i="2" s="1"/>
  <c r="F355" i="2" a="1"/>
  <c r="F355" i="2" s="1"/>
  <c r="F283" i="2" a="1"/>
  <c r="F283" i="2" s="1"/>
  <c r="F195" i="2" a="1"/>
  <c r="F195" i="2" s="1"/>
  <c r="F196" i="2" a="1"/>
  <c r="F196" i="2" s="1"/>
  <c r="F451" i="2" a="1"/>
  <c r="F451" i="2" s="1"/>
  <c r="F12" i="2" a="1"/>
  <c r="F12" i="2" s="1"/>
  <c r="F104" i="2" a="1"/>
  <c r="F104" i="2" s="1"/>
  <c r="F197" i="2" a="1"/>
  <c r="F197" i="2" s="1"/>
  <c r="F452" i="2" a="1"/>
  <c r="F452" i="2" s="1"/>
  <c r="F263" i="2" a="1"/>
  <c r="F263" i="2" s="1"/>
  <c r="F389" i="2" a="1"/>
  <c r="F389" i="2" s="1"/>
  <c r="F51" i="2" a="1"/>
  <c r="F51" i="2" s="1"/>
  <c r="F234" i="2" a="1"/>
  <c r="F234" i="2" s="1"/>
  <c r="F174" i="2" a="1"/>
  <c r="F174" i="2" s="1"/>
  <c r="F198" i="2" a="1"/>
  <c r="F198" i="2" s="1"/>
  <c r="F390" i="2" a="1"/>
  <c r="F390" i="2" s="1"/>
  <c r="F9" i="2" a="1"/>
  <c r="F9" i="2" s="1"/>
  <c r="F284" i="2" a="1"/>
  <c r="F284" i="2" s="1"/>
  <c r="F285" i="2" a="1"/>
  <c r="F285" i="2" s="1"/>
  <c r="F309" i="2" a="1"/>
  <c r="F309" i="2" s="1"/>
  <c r="F105" i="2" a="1"/>
  <c r="F105" i="2" s="1"/>
  <c r="F175" i="2" a="1"/>
  <c r="F175" i="2" s="1"/>
  <c r="F17" i="2" a="1"/>
  <c r="F17" i="2" s="1"/>
  <c r="F335" i="2" a="1"/>
  <c r="F335" i="2" s="1"/>
  <c r="F82" i="2" a="1"/>
  <c r="F82" i="2" s="1"/>
  <c r="F416" i="2" a="1"/>
  <c r="F416" i="2" s="1"/>
  <c r="F310" i="2" a="1"/>
  <c r="F310" i="2" s="1"/>
  <c r="F83" i="2" a="1"/>
  <c r="F83" i="2" s="1"/>
  <c r="F52" i="2" a="1"/>
  <c r="F52" i="2" s="1"/>
  <c r="F3" i="2" a="1"/>
  <c r="F3" i="2" s="1"/>
  <c r="F176" i="2" a="1"/>
  <c r="F176" i="2" s="1"/>
  <c r="F286" i="2" a="1"/>
  <c r="F286" i="2" s="1"/>
  <c r="F199" i="2" a="1"/>
  <c r="F199" i="2" s="1"/>
  <c r="F470" i="2" a="1"/>
  <c r="F470" i="2" s="1"/>
  <c r="F148" i="2" a="1"/>
  <c r="F148" i="2" s="1"/>
  <c r="F264" i="2" a="1"/>
  <c r="F264" i="2" s="1"/>
  <c r="F18" i="2" a="1"/>
  <c r="F18" i="2" s="1"/>
  <c r="F133" i="2" a="1"/>
  <c r="F133" i="2" s="1"/>
  <c r="F241" i="2" a="1"/>
  <c r="F241" i="2" s="1"/>
  <c r="F42" i="2" a="1"/>
  <c r="F42" i="2" s="1"/>
  <c r="F106" i="2" a="1"/>
  <c r="F106" i="2" s="1"/>
  <c r="F453" i="2" a="1"/>
  <c r="F453" i="2" s="1"/>
  <c r="F471" i="2" a="1"/>
  <c r="F471" i="2" s="1"/>
  <c r="F356" i="2" a="1"/>
  <c r="F356" i="2" s="1"/>
  <c r="F2" i="2" a="1"/>
  <c r="F2" i="2" s="1"/>
  <c r="F200" i="2" a="1"/>
  <c r="F200" i="2" s="1"/>
  <c r="F118" i="2" a="1"/>
  <c r="F118" i="2" s="1"/>
  <c r="F417" i="2" a="1"/>
  <c r="F417" i="2" s="1"/>
  <c r="F201" i="2" a="1"/>
  <c r="F201" i="2" s="1"/>
  <c r="F53" i="2" a="1"/>
  <c r="F53" i="2" s="1"/>
  <c r="F418" i="2" a="1"/>
  <c r="F418" i="2" s="1"/>
  <c r="F177" i="2" a="1"/>
  <c r="F177" i="2" s="1"/>
  <c r="F357" i="2" a="1"/>
  <c r="F357" i="2" s="1"/>
  <c r="F31" i="2" a="1"/>
  <c r="F31" i="2" s="1"/>
  <c r="F323" i="2" a="1"/>
  <c r="F323" i="2" s="1"/>
  <c r="F19" i="2" a="1"/>
  <c r="F19" i="2" s="1"/>
  <c r="F419" i="2" a="1"/>
  <c r="F419" i="2" s="1"/>
  <c r="F242" i="2" a="1"/>
  <c r="F242" i="2" s="1"/>
  <c r="F336" i="2" a="1"/>
  <c r="F336" i="2" s="1"/>
  <c r="F337" i="2" a="1"/>
  <c r="F337" i="2" s="1"/>
  <c r="F107" i="2" a="1"/>
  <c r="F107" i="2" s="1"/>
  <c r="F338" i="2" a="1"/>
  <c r="F338" i="2" s="1"/>
  <c r="F20" i="2" a="1"/>
  <c r="F20" i="2" s="1"/>
  <c r="F339" i="2" a="1"/>
  <c r="F339" i="2" s="1"/>
  <c r="F108" i="2" a="1"/>
  <c r="F108" i="2" s="1"/>
  <c r="F420" i="2" a="1"/>
  <c r="F420" i="2" s="1"/>
  <c r="F265" i="2" a="1"/>
  <c r="F265" i="2" s="1"/>
  <c r="F84" i="2" a="1"/>
  <c r="F84" i="2" s="1"/>
  <c r="F249" i="2" a="1"/>
  <c r="F249" i="2" s="1"/>
  <c r="F43" i="2" a="1"/>
  <c r="F43" i="2" s="1"/>
  <c r="F250" i="2" a="1"/>
  <c r="F250" i="2" s="1"/>
  <c r="F251" i="2" a="1"/>
  <c r="F251" i="2" s="1"/>
  <c r="F202" i="2" a="1"/>
  <c r="F202" i="2" s="1"/>
  <c r="F421" i="2" a="1"/>
  <c r="F421" i="2" s="1"/>
  <c r="F329" i="2" a="1"/>
  <c r="F329" i="2" s="1"/>
  <c r="F134" i="2" a="1"/>
  <c r="F134" i="2" s="1"/>
  <c r="F149" i="2" a="1"/>
  <c r="F149" i="2" s="1"/>
  <c r="F24" i="2" a="1"/>
  <c r="F24" i="2" s="1"/>
  <c r="F287" i="2" a="1"/>
  <c r="F287" i="2" s="1"/>
  <c r="F422" i="2" a="1"/>
  <c r="F422" i="2" s="1"/>
  <c r="F340" i="2" a="1"/>
  <c r="F340" i="2" s="1"/>
  <c r="F119" i="2" a="1"/>
  <c r="F119" i="2" s="1"/>
  <c r="F150" i="2" a="1"/>
  <c r="F150" i="2" s="1"/>
  <c r="F120" i="2" a="1"/>
  <c r="F120" i="2" s="1"/>
  <c r="F26" i="2" a="1"/>
  <c r="F26" i="2" s="1"/>
  <c r="F423" i="2" a="1"/>
  <c r="F423" i="2" s="1"/>
  <c r="F85" i="2" a="1"/>
  <c r="F85" i="2" s="1"/>
  <c r="F44" i="2" a="1"/>
  <c r="F44" i="2" s="1"/>
  <c r="F151" i="2" a="1"/>
  <c r="F151" i="2" s="1"/>
  <c r="F75" i="2" a="1"/>
  <c r="F75" i="2" s="1"/>
  <c r="F266" i="2" a="1"/>
  <c r="F266" i="2" s="1"/>
  <c r="F311" i="2" a="1"/>
  <c r="F311" i="2" s="1"/>
  <c r="F121" i="2" a="1"/>
  <c r="F121" i="2" s="1"/>
  <c r="F324" i="2" a="1"/>
  <c r="F324" i="2" s="1"/>
  <c r="F358" i="2" a="1"/>
  <c r="F358" i="2" s="1"/>
  <c r="F203" i="2" a="1"/>
  <c r="F203" i="2" s="1"/>
  <c r="F204" i="2" a="1"/>
  <c r="F204" i="2" s="1"/>
  <c r="F138" i="2" a="1"/>
  <c r="F138" i="2" s="1"/>
  <c r="F424" i="2" a="1"/>
  <c r="F424" i="2" s="1"/>
  <c r="F122" i="2" a="1"/>
  <c r="F122" i="2" s="1"/>
  <c r="F205" i="2" a="1"/>
  <c r="F205" i="2" s="1"/>
  <c r="F227" i="2" a="1"/>
  <c r="F227" i="2" s="1"/>
  <c r="F267" i="2" a="1"/>
  <c r="F267" i="2" s="1"/>
  <c r="F425" i="2" a="1"/>
  <c r="F425" i="2" s="1"/>
  <c r="F22" i="2" a="1"/>
  <c r="F22" i="2" s="1"/>
  <c r="F288" i="2" a="1"/>
  <c r="F288" i="2" s="1"/>
  <c r="F206" i="2" a="1"/>
  <c r="F206" i="2" s="1"/>
  <c r="F391" i="2" a="1"/>
  <c r="F391" i="2" s="1"/>
  <c r="F426" i="2" a="1"/>
  <c r="F426" i="2" s="1"/>
  <c r="F109" i="2" a="1"/>
  <c r="F109" i="2" s="1"/>
  <c r="F427" i="2" a="1"/>
  <c r="F427" i="2" s="1"/>
  <c r="F45" i="2" a="1"/>
  <c r="F45" i="2" s="1"/>
  <c r="F392" i="2" a="1"/>
  <c r="F392" i="2" s="1"/>
  <c r="F123" i="2" a="1"/>
  <c r="F123" i="2" s="1"/>
  <c r="F359" i="2" a="1"/>
  <c r="F359" i="2" s="1"/>
  <c r="F178" i="2" a="1"/>
  <c r="F178" i="2" s="1"/>
  <c r="F110" i="2" a="1"/>
  <c r="F110" i="2" s="1"/>
  <c r="F86" i="2" a="1"/>
  <c r="F86" i="2" s="1"/>
  <c r="F289" i="2" a="1"/>
  <c r="F289" i="2" s="1"/>
  <c r="F235" i="2" a="1"/>
  <c r="F235" i="2" s="1"/>
  <c r="F87" i="2" a="1"/>
  <c r="F87" i="2" s="1"/>
  <c r="F228" i="2" a="1"/>
  <c r="F228" i="2" s="1"/>
  <c r="F152" i="2" a="1"/>
  <c r="F152" i="2" s="1"/>
  <c r="F428" i="2" a="1"/>
  <c r="F428" i="2" s="1"/>
  <c r="F153" i="2" a="1"/>
  <c r="F153" i="2" s="1"/>
  <c r="F179" i="2" a="1"/>
  <c r="F179" i="2" s="1"/>
  <c r="F360" i="2" a="1"/>
  <c r="F360" i="2" s="1"/>
  <c r="F207" i="2" a="1"/>
  <c r="F207" i="2" s="1"/>
  <c r="F268" i="2" a="1"/>
  <c r="F268" i="2" s="1"/>
  <c r="F269" i="2" a="1"/>
  <c r="F269" i="2" s="1"/>
  <c r="F46" i="2" a="1"/>
  <c r="F46" i="2" s="1"/>
  <c r="F472" i="2" a="1"/>
  <c r="F472" i="2" s="1"/>
  <c r="F208" i="2" a="1"/>
  <c r="F208" i="2" s="1"/>
  <c r="F361" i="2" a="1"/>
  <c r="F361" i="2" s="1"/>
  <c r="F454" i="2" a="1"/>
  <c r="F454" i="2" s="1"/>
  <c r="F111" i="2" a="1"/>
  <c r="F111" i="2" s="1"/>
  <c r="F209" i="2" a="1"/>
  <c r="F209" i="2" s="1"/>
  <c r="F135" i="2" a="1"/>
  <c r="F135" i="2" s="1"/>
  <c r="F124" i="2" a="1"/>
  <c r="F124" i="2" s="1"/>
  <c r="F28" i="2" a="1"/>
  <c r="F28" i="2" s="1"/>
  <c r="F473" i="2" a="1"/>
  <c r="F473" i="2" s="1"/>
  <c r="F270" i="2" a="1"/>
  <c r="F270" i="2" s="1"/>
  <c r="F455" i="2" a="1"/>
  <c r="F455" i="2" s="1"/>
  <c r="F393" i="2" a="1"/>
  <c r="F393" i="2" s="1"/>
  <c r="F362" i="2" a="1"/>
  <c r="F362" i="2" s="1"/>
  <c r="F429" i="2" a="1"/>
  <c r="F429" i="2" s="1"/>
  <c r="F112" i="2" a="1"/>
  <c r="F112" i="2" s="1"/>
  <c r="F456" i="2" a="1"/>
  <c r="F456" i="2" s="1"/>
  <c r="F325" i="2" a="1"/>
  <c r="F325" i="2" s="1"/>
  <c r="F229" i="2" a="1"/>
  <c r="F229" i="2" s="1"/>
  <c r="F243" i="2" a="1"/>
  <c r="F243" i="2" s="1"/>
  <c r="F457" i="2" a="1"/>
  <c r="F457" i="2" s="1"/>
  <c r="F32" i="2" a="1"/>
  <c r="F32" i="2" s="1"/>
  <c r="F54" i="2" a="1"/>
  <c r="F54" i="2" s="1"/>
  <c r="F394" i="2" a="1"/>
  <c r="F394" i="2" s="1"/>
  <c r="F430" i="2" a="1"/>
  <c r="F430" i="2" s="1"/>
  <c r="F290" i="2" a="1"/>
  <c r="F290" i="2" s="1"/>
  <c r="F88" i="2" a="1"/>
  <c r="F88" i="2" s="1"/>
  <c r="F291" i="2" a="1"/>
  <c r="F291" i="2" s="1"/>
  <c r="F474" i="2" a="1"/>
  <c r="F474" i="2" s="1"/>
  <c r="F363" i="2" a="1"/>
  <c r="F363" i="2" s="1"/>
  <c r="F312" i="2" a="1"/>
  <c r="F312" i="2" s="1"/>
  <c r="F89" i="2" a="1"/>
  <c r="F89" i="2" s="1"/>
  <c r="F364" i="2" a="1"/>
  <c r="F364" i="2" s="1"/>
  <c r="F47" i="2" a="1"/>
  <c r="F47" i="2" s="1"/>
  <c r="F154" i="2" a="1"/>
  <c r="F154" i="2" s="1"/>
  <c r="F180" i="2" a="1"/>
  <c r="F180" i="2" s="1"/>
  <c r="F125" i="2" a="1"/>
  <c r="F125" i="2" s="1"/>
  <c r="F139" i="2" a="1"/>
  <c r="F139" i="2" s="1"/>
  <c r="F313" i="2" a="1"/>
  <c r="F313" i="2" s="1"/>
  <c r="F292" i="2" a="1"/>
  <c r="F292" i="2" s="1"/>
  <c r="F210" i="2" a="1"/>
  <c r="F210" i="2" s="1"/>
  <c r="F181" i="2" a="1"/>
  <c r="F181" i="2" s="1"/>
  <c r="F365" i="2" a="1"/>
  <c r="F365" i="2" s="1"/>
  <c r="F366" i="2" a="1"/>
  <c r="F366" i="2" s="1"/>
  <c r="F395" i="2" a="1"/>
  <c r="F395" i="2" s="1"/>
  <c r="F293" i="2" a="1"/>
  <c r="F293" i="2" s="1"/>
  <c r="F475" i="2" a="1"/>
  <c r="F475" i="2" s="1"/>
  <c r="F458" i="2" a="1"/>
  <c r="F458" i="2" s="1"/>
  <c r="F62" i="2" a="1"/>
  <c r="F62" i="2" s="1"/>
  <c r="F61" i="2" a="1"/>
  <c r="F61" i="2" s="1"/>
  <c r="F55" i="2" a="1"/>
  <c r="F55" i="2" s="1"/>
  <c r="F367" i="2" a="1"/>
  <c r="F367" i="2" s="1"/>
  <c r="F396" i="2" a="1"/>
  <c r="F396" i="2" s="1"/>
  <c r="F155" i="2" a="1"/>
  <c r="F155" i="2" s="1"/>
  <c r="F271" i="2" a="1"/>
  <c r="F271" i="2" s="1"/>
  <c r="F341" i="2" a="1"/>
  <c r="F341" i="2" s="1"/>
  <c r="F397" i="2" a="1"/>
  <c r="F397" i="2" s="1"/>
  <c r="F33" i="2" a="1"/>
  <c r="F33" i="2" s="1"/>
  <c r="F314" i="2" a="1"/>
  <c r="F314" i="2" s="1"/>
  <c r="F272" i="2" a="1"/>
  <c r="F272" i="2" s="1"/>
  <c r="F211" i="2" a="1"/>
  <c r="F211" i="2" s="1"/>
  <c r="F294" i="2" a="1"/>
  <c r="F294" i="2" s="1"/>
  <c r="F368" i="2" a="1"/>
  <c r="F368" i="2" s="1"/>
  <c r="F369" i="2" a="1"/>
  <c r="F369" i="2" s="1"/>
  <c r="F140" i="2" a="1"/>
  <c r="F140" i="2" s="1"/>
  <c r="F156" i="2" a="1"/>
  <c r="F156" i="2" s="1"/>
  <c r="F236" i="2" a="1"/>
  <c r="F236" i="2" s="1"/>
  <c r="F342" i="2" a="1"/>
  <c r="F342" i="2" s="1"/>
  <c r="F370" i="2" a="1"/>
  <c r="F370" i="2" s="1"/>
  <c r="F230" i="2" a="1"/>
  <c r="F230" i="2" s="1"/>
  <c r="F157" i="2" a="1"/>
  <c r="F157" i="2" s="1"/>
  <c r="F315" i="2" a="1"/>
  <c r="F315" i="2" s="1"/>
  <c r="F182" i="2" a="1"/>
  <c r="F182" i="2" s="1"/>
  <c r="F459" i="2" a="1"/>
  <c r="F459" i="2" s="1"/>
  <c r="F460" i="2" a="1"/>
  <c r="F460" i="2" s="1"/>
  <c r="F76" i="2" a="1"/>
  <c r="F76" i="2" s="1"/>
  <c r="F77" i="2" a="1"/>
  <c r="F77" i="2" s="1"/>
  <c r="F90" i="2" a="1"/>
  <c r="F90" i="2" s="1"/>
  <c r="F295" i="2" a="1"/>
  <c r="F295" i="2" s="1"/>
  <c r="F113" i="2" a="1"/>
  <c r="F113" i="2" s="1"/>
  <c r="F273" i="2" a="1"/>
  <c r="F273" i="2" s="1"/>
  <c r="F212" i="2" a="1"/>
  <c r="F212" i="2" s="1"/>
  <c r="F296" i="2" a="1"/>
  <c r="F296" i="2" s="1"/>
  <c r="F7" i="2" a="1"/>
  <c r="F7" i="2" s="1"/>
  <c r="F431" i="2" a="1"/>
  <c r="F431" i="2" s="1"/>
  <c r="F34" i="2" a="1"/>
  <c r="F34" i="2" s="1"/>
  <c r="F432" i="2" a="1"/>
  <c r="F432" i="2" s="1"/>
  <c r="F63" i="2" a="1"/>
  <c r="F63" i="2" s="1"/>
  <c r="F237" i="2" a="1"/>
  <c r="F237" i="2" s="1"/>
  <c r="F213" i="2" a="1"/>
  <c r="F213" i="2" s="1"/>
  <c r="F126" i="2" a="1"/>
  <c r="F126" i="2" s="1"/>
  <c r="F183" i="2" a="1"/>
  <c r="F183" i="2" s="1"/>
  <c r="F184" i="2" a="1"/>
  <c r="F184" i="2" s="1"/>
  <c r="F64" i="2" a="1"/>
  <c r="F64" i="2" s="1"/>
  <c r="F343" i="2" a="1"/>
  <c r="F343" i="2" s="1"/>
  <c r="F56" i="2" a="1"/>
  <c r="F56" i="2" s="1"/>
  <c r="F398" i="2" a="1"/>
  <c r="F398" i="2" s="1"/>
  <c r="F35" i="2" a="1"/>
  <c r="F35" i="2" s="1"/>
  <c r="F316" i="2" a="1"/>
  <c r="F316" i="2" s="1"/>
  <c r="F399" i="2" a="1"/>
  <c r="F399" i="2" s="1"/>
  <c r="F433" i="2" a="1"/>
  <c r="F433" i="2" s="1"/>
  <c r="F127" i="2" a="1"/>
  <c r="F127" i="2" s="1"/>
  <c r="F48" i="2" a="1"/>
  <c r="F48" i="2" s="1"/>
  <c r="F317" i="2" a="1"/>
  <c r="F317" i="2" s="1"/>
  <c r="F158" i="2" a="1"/>
  <c r="F158" i="2" s="1"/>
  <c r="F344" i="2" a="1"/>
  <c r="F344" i="2" s="1"/>
  <c r="F21" i="2" a="1"/>
  <c r="F21" i="2" s="1"/>
  <c r="F400" i="2" a="1"/>
  <c r="F400" i="2" s="1"/>
  <c r="F401" i="2" a="1"/>
  <c r="F401" i="2" s="1"/>
  <c r="F159" i="2" a="1"/>
  <c r="F159" i="2" s="1"/>
  <c r="F252" i="2" a="1"/>
  <c r="F252" i="2" s="1"/>
  <c r="F434" i="2" a="1"/>
  <c r="F434" i="2" s="1"/>
  <c r="F185" i="2" a="1"/>
  <c r="F185" i="2" s="1"/>
  <c r="F91" i="2" a="1"/>
  <c r="F91" i="2" s="1"/>
  <c r="F461" i="2" a="1"/>
  <c r="F461" i="2" s="1"/>
  <c r="F13" i="2" a="1"/>
  <c r="F13" i="2" s="1"/>
  <c r="F345" i="2" a="1"/>
  <c r="F345" i="2" s="1"/>
  <c r="F160" i="2" a="1"/>
  <c r="F160" i="2" s="1"/>
  <c r="F57" i="2" a="1"/>
  <c r="F57" i="2" s="1"/>
  <c r="F476" i="2" a="1"/>
  <c r="F476" i="2" s="1"/>
  <c r="F371" i="2" a="1"/>
  <c r="F371" i="2" s="1"/>
  <c r="F318" i="2" a="1"/>
  <c r="F318" i="2" s="1"/>
  <c r="F4" i="2" a="1"/>
  <c r="F4" i="2" s="1"/>
  <c r="F65" i="2" a="1"/>
  <c r="F65" i="2" s="1"/>
  <c r="F8" i="2" a="1"/>
  <c r="F8" i="2" s="1"/>
  <c r="F214" i="2" a="1"/>
  <c r="F214" i="2" s="1"/>
  <c r="F402" i="2" a="1"/>
  <c r="F402" i="2" s="1"/>
  <c r="F319" i="2" a="1"/>
  <c r="F319" i="2" s="1"/>
  <c r="F128" i="2" a="1"/>
  <c r="F128" i="2" s="1"/>
  <c r="F403" i="2" a="1"/>
  <c r="F403" i="2" s="1"/>
  <c r="F215" i="2" a="1"/>
  <c r="F215" i="2" s="1"/>
  <c r="F92" i="2" a="1"/>
  <c r="F92" i="2" s="1"/>
  <c r="F327" i="2" a="1"/>
  <c r="F327" i="2" s="1"/>
  <c r="F36" i="2" a="1"/>
  <c r="F36" i="2" s="1"/>
  <c r="F462" i="2" a="1"/>
  <c r="F462" i="2" s="1"/>
  <c r="F244" i="2" a="1"/>
  <c r="F244" i="2" s="1"/>
  <c r="F477" i="2" a="1"/>
  <c r="F477" i="2" s="1"/>
  <c r="F478" i="2" a="1"/>
  <c r="F478" i="2" s="1"/>
  <c r="F435" i="2" a="1"/>
  <c r="F435" i="2" s="1"/>
  <c r="F297" i="2" a="1"/>
  <c r="F297" i="2" s="1"/>
  <c r="F216" i="2" a="1"/>
  <c r="F216" i="2" s="1"/>
  <c r="F298" i="2" a="1"/>
  <c r="F298" i="2" s="1"/>
  <c r="F93" i="2" a="1"/>
  <c r="F93" i="2" s="1"/>
  <c r="F330" i="2" a="1"/>
  <c r="F330"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<sst xmlns="http://schemas.openxmlformats.org/spreadsheetml/2006/main" count="3108" uniqueCount="555">
  <si>
    <t>User_ID</t>
  </si>
  <si>
    <t>Age</t>
  </si>
  <si>
    <t>Gender</t>
  </si>
  <si>
    <t>Daily_Screen_Time(hrs)</t>
  </si>
  <si>
    <t>Sleep_Quality(1-10)</t>
  </si>
  <si>
    <t>Stress_Level(1-10)</t>
  </si>
  <si>
    <t>Days_Without_Social_Media</t>
  </si>
  <si>
    <t>Exercise_Frequency(week)</t>
  </si>
  <si>
    <t>Social_Media_Platform</t>
  </si>
  <si>
    <t>Happiness_Index(1-10)</t>
  </si>
  <si>
    <t>U001</t>
  </si>
  <si>
    <t>Male</t>
  </si>
  <si>
    <t>Facebook</t>
  </si>
  <si>
    <t>LinkedIn</t>
  </si>
  <si>
    <t>YouTube</t>
  </si>
  <si>
    <t>U004</t>
  </si>
  <si>
    <t>Female</t>
  </si>
  <si>
    <t>TikTok</t>
  </si>
  <si>
    <t>U005</t>
  </si>
  <si>
    <t>X (Twitter)</t>
  </si>
  <si>
    <t>U006</t>
  </si>
  <si>
    <t>U007</t>
  </si>
  <si>
    <t>U008</t>
  </si>
  <si>
    <t>Instagram</t>
  </si>
  <si>
    <t>U009</t>
  </si>
  <si>
    <t>U010</t>
  </si>
  <si>
    <t>U011</t>
  </si>
  <si>
    <t>U013</t>
  </si>
  <si>
    <t>U014</t>
  </si>
  <si>
    <t>U015</t>
  </si>
  <si>
    <t>U016</t>
  </si>
  <si>
    <t>U017</t>
  </si>
  <si>
    <t>U018</t>
  </si>
  <si>
    <t>U019</t>
  </si>
  <si>
    <t>U020</t>
  </si>
  <si>
    <t>U021</t>
  </si>
  <si>
    <t>U023</t>
  </si>
  <si>
    <t>U024</t>
  </si>
  <si>
    <t>U025</t>
  </si>
  <si>
    <t>U027</t>
  </si>
  <si>
    <t>U028</t>
  </si>
  <si>
    <t>U029</t>
  </si>
  <si>
    <t>U030</t>
  </si>
  <si>
    <t>U031</t>
  </si>
  <si>
    <t>U032</t>
  </si>
  <si>
    <t>U033</t>
  </si>
  <si>
    <t>U034</t>
  </si>
  <si>
    <t>U037</t>
  </si>
  <si>
    <t>U038</t>
  </si>
  <si>
    <t>U040</t>
  </si>
  <si>
    <t>U041</t>
  </si>
  <si>
    <t>U042</t>
  </si>
  <si>
    <t>U043</t>
  </si>
  <si>
    <t>U045</t>
  </si>
  <si>
    <t>U046</t>
  </si>
  <si>
    <t>U047</t>
  </si>
  <si>
    <t>U048</t>
  </si>
  <si>
    <t>U049</t>
  </si>
  <si>
    <t>U050</t>
  </si>
  <si>
    <t>U051</t>
  </si>
  <si>
    <t>U052</t>
  </si>
  <si>
    <t>U053</t>
  </si>
  <si>
    <t>U054</t>
  </si>
  <si>
    <t>U055</t>
  </si>
  <si>
    <t>U056</t>
  </si>
  <si>
    <t>U057</t>
  </si>
  <si>
    <t>U058</t>
  </si>
  <si>
    <t>U059</t>
  </si>
  <si>
    <t>U060</t>
  </si>
  <si>
    <t>U061</t>
  </si>
  <si>
    <t>U062</t>
  </si>
  <si>
    <t>U063</t>
  </si>
  <si>
    <t>U064</t>
  </si>
  <si>
    <t>U065</t>
  </si>
  <si>
    <t>U066</t>
  </si>
  <si>
    <t>U067</t>
  </si>
  <si>
    <t>U068</t>
  </si>
  <si>
    <t>U069</t>
  </si>
  <si>
    <t>U070</t>
  </si>
  <si>
    <t>U071</t>
  </si>
  <si>
    <t>U072</t>
  </si>
  <si>
    <t>U073</t>
  </si>
  <si>
    <t>U074</t>
  </si>
  <si>
    <t>U075</t>
  </si>
  <si>
    <t>U076</t>
  </si>
  <si>
    <t>U077</t>
  </si>
  <si>
    <t>U078</t>
  </si>
  <si>
    <t>U080</t>
  </si>
  <si>
    <t>U081</t>
  </si>
  <si>
    <t>U082</t>
  </si>
  <si>
    <t>U083</t>
  </si>
  <si>
    <t>U084</t>
  </si>
  <si>
    <t>U086</t>
  </si>
  <si>
    <t>U087</t>
  </si>
  <si>
    <t>U088</t>
  </si>
  <si>
    <t>U089</t>
  </si>
  <si>
    <t>U090</t>
  </si>
  <si>
    <t>U091</t>
  </si>
  <si>
    <t>U092</t>
  </si>
  <si>
    <t>U093</t>
  </si>
  <si>
    <t>U094</t>
  </si>
  <si>
    <t>U095</t>
  </si>
  <si>
    <t>U096</t>
  </si>
  <si>
    <t>U097</t>
  </si>
  <si>
    <t>U098</t>
  </si>
  <si>
    <t>U099</t>
  </si>
  <si>
    <t>U100</t>
  </si>
  <si>
    <t>U101</t>
  </si>
  <si>
    <t>U102</t>
  </si>
  <si>
    <t>U103</t>
  </si>
  <si>
    <t>U104</t>
  </si>
  <si>
    <t>U105</t>
  </si>
  <si>
    <t>U106</t>
  </si>
  <si>
    <t>U107</t>
  </si>
  <si>
    <t>U108</t>
  </si>
  <si>
    <t>U109</t>
  </si>
  <si>
    <t>U110</t>
  </si>
  <si>
    <t>U111</t>
  </si>
  <si>
    <t>U112</t>
  </si>
  <si>
    <t>U113</t>
  </si>
  <si>
    <t>U114</t>
  </si>
  <si>
    <t>U115</t>
  </si>
  <si>
    <t>U116</t>
  </si>
  <si>
    <t>U117</t>
  </si>
  <si>
    <t>U118</t>
  </si>
  <si>
    <t>U119</t>
  </si>
  <si>
    <t>U120</t>
  </si>
  <si>
    <t>U121</t>
  </si>
  <si>
    <t>U122</t>
  </si>
  <si>
    <t>U123</t>
  </si>
  <si>
    <t>U124</t>
  </si>
  <si>
    <t>U125</t>
  </si>
  <si>
    <t>U126</t>
  </si>
  <si>
    <t>U127</t>
  </si>
  <si>
    <t>U128</t>
  </si>
  <si>
    <t>U129</t>
  </si>
  <si>
    <t>U130</t>
  </si>
  <si>
    <t>U131</t>
  </si>
  <si>
    <t>U132</t>
  </si>
  <si>
    <t>U133</t>
  </si>
  <si>
    <t>U134</t>
  </si>
  <si>
    <t>U135</t>
  </si>
  <si>
    <t>U136</t>
  </si>
  <si>
    <t>U137</t>
  </si>
  <si>
    <t>U138</t>
  </si>
  <si>
    <t>U139</t>
  </si>
  <si>
    <t>U140</t>
  </si>
  <si>
    <t>U141</t>
  </si>
  <si>
    <t>U142</t>
  </si>
  <si>
    <t>U143</t>
  </si>
  <si>
    <t>U144</t>
  </si>
  <si>
    <t>U145</t>
  </si>
  <si>
    <t>U146</t>
  </si>
  <si>
    <t>U147</t>
  </si>
  <si>
    <t>U148</t>
  </si>
  <si>
    <t>U149</t>
  </si>
  <si>
    <t>U150</t>
  </si>
  <si>
    <t>U151</t>
  </si>
  <si>
    <t>U152</t>
  </si>
  <si>
    <t>U153</t>
  </si>
  <si>
    <t>U154</t>
  </si>
  <si>
    <t>U155</t>
  </si>
  <si>
    <t>U156</t>
  </si>
  <si>
    <t>U157</t>
  </si>
  <si>
    <t>U158</t>
  </si>
  <si>
    <t>U159</t>
  </si>
  <si>
    <t>U160</t>
  </si>
  <si>
    <t>U161</t>
  </si>
  <si>
    <t>U162</t>
  </si>
  <si>
    <t>U163</t>
  </si>
  <si>
    <t>U164</t>
  </si>
  <si>
    <t>U166</t>
  </si>
  <si>
    <t>U167</t>
  </si>
  <si>
    <t>U168</t>
  </si>
  <si>
    <t>U169</t>
  </si>
  <si>
    <t>U170</t>
  </si>
  <si>
    <t>U171</t>
  </si>
  <si>
    <t>U172</t>
  </si>
  <si>
    <t>U173</t>
  </si>
  <si>
    <t>U174</t>
  </si>
  <si>
    <t>U175</t>
  </si>
  <si>
    <t>U176</t>
  </si>
  <si>
    <t>U177</t>
  </si>
  <si>
    <t>U178</t>
  </si>
  <si>
    <t>U180</t>
  </si>
  <si>
    <t>U181</t>
  </si>
  <si>
    <t>U183</t>
  </si>
  <si>
    <t>U184</t>
  </si>
  <si>
    <t>U185</t>
  </si>
  <si>
    <t>U186</t>
  </si>
  <si>
    <t>U187</t>
  </si>
  <si>
    <t>U188</t>
  </si>
  <si>
    <t>U189</t>
  </si>
  <si>
    <t>U190</t>
  </si>
  <si>
    <t>U191</t>
  </si>
  <si>
    <t>U192</t>
  </si>
  <si>
    <t>U193</t>
  </si>
  <si>
    <t>U194</t>
  </si>
  <si>
    <t>U195</t>
  </si>
  <si>
    <t>U196</t>
  </si>
  <si>
    <t>U197</t>
  </si>
  <si>
    <t>U198</t>
  </si>
  <si>
    <t>U199</t>
  </si>
  <si>
    <t>U200</t>
  </si>
  <si>
    <t>U201</t>
  </si>
  <si>
    <t>U202</t>
  </si>
  <si>
    <t>U203</t>
  </si>
  <si>
    <t>U204</t>
  </si>
  <si>
    <t>U205</t>
  </si>
  <si>
    <t>U206</t>
  </si>
  <si>
    <t>U207</t>
  </si>
  <si>
    <t>U208</t>
  </si>
  <si>
    <t>U210</t>
  </si>
  <si>
    <t>U211</t>
  </si>
  <si>
    <t>U212</t>
  </si>
  <si>
    <t>U213</t>
  </si>
  <si>
    <t>U214</t>
  </si>
  <si>
    <t>U215</t>
  </si>
  <si>
    <t>U216</t>
  </si>
  <si>
    <t>U217</t>
  </si>
  <si>
    <t>U218</t>
  </si>
  <si>
    <t>U219</t>
  </si>
  <si>
    <t>U220</t>
  </si>
  <si>
    <t>U222</t>
  </si>
  <si>
    <t>U223</t>
  </si>
  <si>
    <t>U224</t>
  </si>
  <si>
    <t>U225</t>
  </si>
  <si>
    <t>U226</t>
  </si>
  <si>
    <t>U227</t>
  </si>
  <si>
    <t>U228</t>
  </si>
  <si>
    <t>U229</t>
  </si>
  <si>
    <t>U230</t>
  </si>
  <si>
    <t>U231</t>
  </si>
  <si>
    <t>U232</t>
  </si>
  <si>
    <t>U233</t>
  </si>
  <si>
    <t>U234</t>
  </si>
  <si>
    <t>U235</t>
  </si>
  <si>
    <t>U236</t>
  </si>
  <si>
    <t>U237</t>
  </si>
  <si>
    <t>U238</t>
  </si>
  <si>
    <t>U239</t>
  </si>
  <si>
    <t>U240</t>
  </si>
  <si>
    <t>U241</t>
  </si>
  <si>
    <t>U242</t>
  </si>
  <si>
    <t>U243</t>
  </si>
  <si>
    <t>U244</t>
  </si>
  <si>
    <t>U245</t>
  </si>
  <si>
    <t>U246</t>
  </si>
  <si>
    <t>U247</t>
  </si>
  <si>
    <t>U248</t>
  </si>
  <si>
    <t>U249</t>
  </si>
  <si>
    <t>U250</t>
  </si>
  <si>
    <t>U251</t>
  </si>
  <si>
    <t>U252</t>
  </si>
  <si>
    <t>U253</t>
  </si>
  <si>
    <t>U254</t>
  </si>
  <si>
    <t>U255</t>
  </si>
  <si>
    <t>U256</t>
  </si>
  <si>
    <t>U257</t>
  </si>
  <si>
    <t>U258</t>
  </si>
  <si>
    <t>U259</t>
  </si>
  <si>
    <t>U260</t>
  </si>
  <si>
    <t>U261</t>
  </si>
  <si>
    <t>U262</t>
  </si>
  <si>
    <t>U263</t>
  </si>
  <si>
    <t>U264</t>
  </si>
  <si>
    <t>U265</t>
  </si>
  <si>
    <t>U266</t>
  </si>
  <si>
    <t>U267</t>
  </si>
  <si>
    <t>U268</t>
  </si>
  <si>
    <t>U269</t>
  </si>
  <si>
    <t>U270</t>
  </si>
  <si>
    <t>U271</t>
  </si>
  <si>
    <t>U272</t>
  </si>
  <si>
    <t>U273</t>
  </si>
  <si>
    <t>U274</t>
  </si>
  <si>
    <t>U275</t>
  </si>
  <si>
    <t>U276</t>
  </si>
  <si>
    <t>U277</t>
  </si>
  <si>
    <t>U278</t>
  </si>
  <si>
    <t>U279</t>
  </si>
  <si>
    <t>U280</t>
  </si>
  <si>
    <t>U281</t>
  </si>
  <si>
    <t>U282</t>
  </si>
  <si>
    <t>U283</t>
  </si>
  <si>
    <t>U284</t>
  </si>
  <si>
    <t>U285</t>
  </si>
  <si>
    <t>U286</t>
  </si>
  <si>
    <t>U287</t>
  </si>
  <si>
    <t>U288</t>
  </si>
  <si>
    <t>U289</t>
  </si>
  <si>
    <t>U290</t>
  </si>
  <si>
    <t>U291</t>
  </si>
  <si>
    <t>U292</t>
  </si>
  <si>
    <t>U294</t>
  </si>
  <si>
    <t>U295</t>
  </si>
  <si>
    <t>U296</t>
  </si>
  <si>
    <t>U297</t>
  </si>
  <si>
    <t>U298</t>
  </si>
  <si>
    <t>U299</t>
  </si>
  <si>
    <t>U300</t>
  </si>
  <si>
    <t>U301</t>
  </si>
  <si>
    <t>U302</t>
  </si>
  <si>
    <t>U303</t>
  </si>
  <si>
    <t>U304</t>
  </si>
  <si>
    <t>U305</t>
  </si>
  <si>
    <t>U306</t>
  </si>
  <si>
    <t>U307</t>
  </si>
  <si>
    <t>U308</t>
  </si>
  <si>
    <t>U309</t>
  </si>
  <si>
    <t>U310</t>
  </si>
  <si>
    <t>U311</t>
  </si>
  <si>
    <t>U312</t>
  </si>
  <si>
    <t>U313</t>
  </si>
  <si>
    <t>U315</t>
  </si>
  <si>
    <t>U316</t>
  </si>
  <si>
    <t>U317</t>
  </si>
  <si>
    <t>U318</t>
  </si>
  <si>
    <t>U319</t>
  </si>
  <si>
    <t>U320</t>
  </si>
  <si>
    <t>U321</t>
  </si>
  <si>
    <t>U322</t>
  </si>
  <si>
    <t>U323</t>
  </si>
  <si>
    <t>U324</t>
  </si>
  <si>
    <t>U325</t>
  </si>
  <si>
    <t>U326</t>
  </si>
  <si>
    <t>U327</t>
  </si>
  <si>
    <t>U328</t>
  </si>
  <si>
    <t>U329</t>
  </si>
  <si>
    <t>U330</t>
  </si>
  <si>
    <t>U331</t>
  </si>
  <si>
    <t>U332</t>
  </si>
  <si>
    <t>U333</t>
  </si>
  <si>
    <t>U334</t>
  </si>
  <si>
    <t>U335</t>
  </si>
  <si>
    <t>U336</t>
  </si>
  <si>
    <t>U337</t>
  </si>
  <si>
    <t>U338</t>
  </si>
  <si>
    <t>U339</t>
  </si>
  <si>
    <t>U340</t>
  </si>
  <si>
    <t>U341</t>
  </si>
  <si>
    <t>U342</t>
  </si>
  <si>
    <t>U343</t>
  </si>
  <si>
    <t>U344</t>
  </si>
  <si>
    <t>U345</t>
  </si>
  <si>
    <t>U346</t>
  </si>
  <si>
    <t>U348</t>
  </si>
  <si>
    <t>U349</t>
  </si>
  <si>
    <t>U350</t>
  </si>
  <si>
    <t>U352</t>
  </si>
  <si>
    <t>U353</t>
  </si>
  <si>
    <t>U354</t>
  </si>
  <si>
    <t>U355</t>
  </si>
  <si>
    <t>U356</t>
  </si>
  <si>
    <t>U357</t>
  </si>
  <si>
    <t>U358</t>
  </si>
  <si>
    <t>U359</t>
  </si>
  <si>
    <t>U360</t>
  </si>
  <si>
    <t>U361</t>
  </si>
  <si>
    <t>U362</t>
  </si>
  <si>
    <t>U363</t>
  </si>
  <si>
    <t>U364</t>
  </si>
  <si>
    <t>U365</t>
  </si>
  <si>
    <t>U366</t>
  </si>
  <si>
    <t>U367</t>
  </si>
  <si>
    <t>U368</t>
  </si>
  <si>
    <t>U369</t>
  </si>
  <si>
    <t>U370</t>
  </si>
  <si>
    <t>U371</t>
  </si>
  <si>
    <t>U372</t>
  </si>
  <si>
    <t>U374</t>
  </si>
  <si>
    <t>U375</t>
  </si>
  <si>
    <t>U376</t>
  </si>
  <si>
    <t>U377</t>
  </si>
  <si>
    <t>U378</t>
  </si>
  <si>
    <t>U379</t>
  </si>
  <si>
    <t>U380</t>
  </si>
  <si>
    <t>U381</t>
  </si>
  <si>
    <t>U382</t>
  </si>
  <si>
    <t>U383</t>
  </si>
  <si>
    <t>U384</t>
  </si>
  <si>
    <t>U385</t>
  </si>
  <si>
    <t>U386</t>
  </si>
  <si>
    <t>U387</t>
  </si>
  <si>
    <t>U388</t>
  </si>
  <si>
    <t>U389</t>
  </si>
  <si>
    <t>U390</t>
  </si>
  <si>
    <t>U391</t>
  </si>
  <si>
    <t>U392</t>
  </si>
  <si>
    <t>U393</t>
  </si>
  <si>
    <t>U394</t>
  </si>
  <si>
    <t>U395</t>
  </si>
  <si>
    <t>U396</t>
  </si>
  <si>
    <t>U397</t>
  </si>
  <si>
    <t>U398</t>
  </si>
  <si>
    <t>U399</t>
  </si>
  <si>
    <t>U400</t>
  </si>
  <si>
    <t>U401</t>
  </si>
  <si>
    <t>U402</t>
  </si>
  <si>
    <t>U403</t>
  </si>
  <si>
    <t>U404</t>
  </si>
  <si>
    <t>U405</t>
  </si>
  <si>
    <t>U406</t>
  </si>
  <si>
    <t>U407</t>
  </si>
  <si>
    <t>U408</t>
  </si>
  <si>
    <t>U409</t>
  </si>
  <si>
    <t>U410</t>
  </si>
  <si>
    <t>U411</t>
  </si>
  <si>
    <t>U412</t>
  </si>
  <si>
    <t>U413</t>
  </si>
  <si>
    <t>U414</t>
  </si>
  <si>
    <t>U415</t>
  </si>
  <si>
    <t>U416</t>
  </si>
  <si>
    <t>U417</t>
  </si>
  <si>
    <t>U418</t>
  </si>
  <si>
    <t>U419</t>
  </si>
  <si>
    <t>U420</t>
  </si>
  <si>
    <t>U422</t>
  </si>
  <si>
    <t>U423</t>
  </si>
  <si>
    <t>U424</t>
  </si>
  <si>
    <t>U425</t>
  </si>
  <si>
    <t>U426</t>
  </si>
  <si>
    <t>U427</t>
  </si>
  <si>
    <t>U428</t>
  </si>
  <si>
    <t>U429</t>
  </si>
  <si>
    <t>U430</t>
  </si>
  <si>
    <t>U431</t>
  </si>
  <si>
    <t>U432</t>
  </si>
  <si>
    <t>U433</t>
  </si>
  <si>
    <t>U434</t>
  </si>
  <si>
    <t>U435</t>
  </si>
  <si>
    <t>U437</t>
  </si>
  <si>
    <t>U438</t>
  </si>
  <si>
    <t>U439</t>
  </si>
  <si>
    <t>U440</t>
  </si>
  <si>
    <t>U441</t>
  </si>
  <si>
    <t>U442</t>
  </si>
  <si>
    <t>U443</t>
  </si>
  <si>
    <t>U444</t>
  </si>
  <si>
    <t>U445</t>
  </si>
  <si>
    <t>U446</t>
  </si>
  <si>
    <t>U447</t>
  </si>
  <si>
    <t>U448</t>
  </si>
  <si>
    <t>U449</t>
  </si>
  <si>
    <t>U450</t>
  </si>
  <si>
    <t>U451</t>
  </si>
  <si>
    <t>U452</t>
  </si>
  <si>
    <t>U453</t>
  </si>
  <si>
    <t>U454</t>
  </si>
  <si>
    <t>U455</t>
  </si>
  <si>
    <t>U456</t>
  </si>
  <si>
    <t>U457</t>
  </si>
  <si>
    <t>U458</t>
  </si>
  <si>
    <t>U459</t>
  </si>
  <si>
    <t>U460</t>
  </si>
  <si>
    <t>U461</t>
  </si>
  <si>
    <t>U462</t>
  </si>
  <si>
    <t>U463</t>
  </si>
  <si>
    <t>U464</t>
  </si>
  <si>
    <t>U465</t>
  </si>
  <si>
    <t>U466</t>
  </si>
  <si>
    <t>U467</t>
  </si>
  <si>
    <t>U468</t>
  </si>
  <si>
    <t>U469</t>
  </si>
  <si>
    <t>U470</t>
  </si>
  <si>
    <t>U471</t>
  </si>
  <si>
    <t>U472</t>
  </si>
  <si>
    <t>U473</t>
  </si>
  <si>
    <t>U474</t>
  </si>
  <si>
    <t>U475</t>
  </si>
  <si>
    <t>U476</t>
  </si>
  <si>
    <t>U477</t>
  </si>
  <si>
    <t>U478</t>
  </si>
  <si>
    <t>U479</t>
  </si>
  <si>
    <t>U480</t>
  </si>
  <si>
    <t>U481</t>
  </si>
  <si>
    <t>U482</t>
  </si>
  <si>
    <t>U483</t>
  </si>
  <si>
    <t>U484</t>
  </si>
  <si>
    <t>U485</t>
  </si>
  <si>
    <t>U486</t>
  </si>
  <si>
    <t>U487</t>
  </si>
  <si>
    <t>U488</t>
  </si>
  <si>
    <t>U489</t>
  </si>
  <si>
    <t>U490</t>
  </si>
  <si>
    <t>U491</t>
  </si>
  <si>
    <t>U492</t>
  </si>
  <si>
    <t>U493</t>
  </si>
  <si>
    <t>U494</t>
  </si>
  <si>
    <t>U495</t>
  </si>
  <si>
    <t>U496</t>
  </si>
  <si>
    <t>U497</t>
  </si>
  <si>
    <t>U498</t>
  </si>
  <si>
    <t>U499</t>
  </si>
  <si>
    <t>U500</t>
  </si>
  <si>
    <t>Grand Total</t>
  </si>
  <si>
    <t>Other</t>
  </si>
  <si>
    <t>U436</t>
  </si>
  <si>
    <t>U421</t>
  </si>
  <si>
    <t>U373</t>
  </si>
  <si>
    <t>U351</t>
  </si>
  <si>
    <t>U347</t>
  </si>
  <si>
    <t>U314</t>
  </si>
  <si>
    <t>U293</t>
  </si>
  <si>
    <t>U221</t>
  </si>
  <si>
    <t>U209</t>
  </si>
  <si>
    <t>U182</t>
  </si>
  <si>
    <t>U179</t>
  </si>
  <si>
    <t>U165</t>
  </si>
  <si>
    <t>U085</t>
  </si>
  <si>
    <t>U079</t>
  </si>
  <si>
    <t>U044</t>
  </si>
  <si>
    <t>U039</t>
  </si>
  <si>
    <t>U036</t>
  </si>
  <si>
    <t>U035</t>
  </si>
  <si>
    <t>U026</t>
  </si>
  <si>
    <t>U022</t>
  </si>
  <si>
    <t>U012</t>
  </si>
  <si>
    <t>U003</t>
  </si>
  <si>
    <t>U002</t>
  </si>
  <si>
    <t>Row Labels</t>
  </si>
  <si>
    <t>Age_Groups</t>
  </si>
  <si>
    <t>Screen_Time_Groups</t>
  </si>
  <si>
    <t>Adults (35–44)</t>
  </si>
  <si>
    <t>Middle-aged (45–54)</t>
  </si>
  <si>
    <t>Young Adults (25–34)</t>
  </si>
  <si>
    <t>Youth (16–24)</t>
  </si>
  <si>
    <t>High (6–8 hrs)</t>
  </si>
  <si>
    <t>Low (0–3 hrs)</t>
  </si>
  <si>
    <t>Moderate (3–6 hrs)</t>
  </si>
  <si>
    <t>Very High (8+ hrs)</t>
  </si>
  <si>
    <t>Average of Daily_Screen_Time(hrs)</t>
  </si>
  <si>
    <t>Average of Sleep_Quality(1-10)</t>
  </si>
  <si>
    <t>Average of Stress_Level(1-10)</t>
  </si>
  <si>
    <t>Average of Happiness_Index(1-10)</t>
  </si>
  <si>
    <t>StdDev of Daily_Screen_Time(hrs)</t>
  </si>
  <si>
    <t>StdDev of Stress_Level(1-10)</t>
  </si>
  <si>
    <t>StdDev of Sleep_Quality(1-10)</t>
  </si>
  <si>
    <t>StdDev of Happiness_Index(1-10)</t>
  </si>
  <si>
    <t>Var of Daily_Screen_Time(hrs)</t>
  </si>
  <si>
    <t>Var of Sleep_Quality(1-10)</t>
  </si>
  <si>
    <t>Var of Stress_Level(1-10)</t>
  </si>
  <si>
    <t>Var of Happiness_Index(1-10)</t>
  </si>
  <si>
    <t>Column Labels</t>
  </si>
  <si>
    <t>Count of Social_Media_Platform</t>
  </si>
  <si>
    <t>Count of User_ID</t>
  </si>
  <si>
    <t>Average of Days_Without_Social_Media</t>
  </si>
  <si>
    <t>Average of Exercise_Frequency(week)</t>
  </si>
  <si>
    <t>Exercise_Frequency_Groups</t>
  </si>
  <si>
    <t>Advanced (5–7 days)</t>
  </si>
  <si>
    <t>Beginners (0–2 days)</t>
  </si>
  <si>
    <t>Intermediate (3–4 days)</t>
  </si>
  <si>
    <t>Average of Stress Level (1-10)</t>
  </si>
  <si>
    <t>Average of Happiness (1-10)</t>
  </si>
  <si>
    <t>Average of Sleep Quality (1-10)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</si>
</sst>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 fontId="0" fillId="33" borderId="0" xfId="0" applyNumberForma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1" formatCode="0"/>
    </dxf>
    <dxf>
      <numFmt numFmtId="1" formatCode="0"/>
    </dxf>
    <dxf>
      <numFmt numFmtId="1" formatCode="0"/>
    </dxf>
    <dxf>
      <numFmt numFmtId="1" formatCode="0"/>
    </dxf>
    <dxf>
      <numFmt numFmtId="1" formatCode="0"/>
    </dxf>
    <dxf>
      <numFmt numFmtId="1" formatCode="0"/>
    </dxf>
    <dxf>
      <numFmt numFmtId="164" formatCode="0.0"/>
    </dxf>
    <dxf>
      <numFmt numFmtId="164" formatCode="0.0"/>
    </dxf>
    <dxf>
      <numFmt numFmtId="1" formatCode="0"/>
    </dxf>
    <dxf>
      <numFmt numFmtId="1" formatCode="0"/>
    </dxf>
    <dxf>
      <numFmt numFmtId="1" formatCode="0"/>
    </dxf>
  </dxfs>
  <tableStyles count="0" defaultTableStyle="TableStyleMedium2" defaultPivotStyle="PivotStyleLight16"/>
  <colors>
    <mruColors>
      <color rgb="FF000000"/>
      <color rgb="FFD1D1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Avg!PivotTable5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Avg'!$B$3</c:f>
              <c:strCache>
                <c:ptCount val="1"/>
                <c:pt idx="0">
                  <c:v>Average of Daily_Screen_Time(hrs)</c:v>
                </c:pt>
              </c:strCache>
            </c:strRef>
          </c:tx>
          <c:spPr>
            <a:solidFill>
              <a:schemeClr val="accent1"/>
            </a:solidFill>
            <a:ln>
              <a:noFill/>
            </a:ln>
            <a:effectLst/>
          </c:spPr>
          <c:invertIfNegative val="0"/>
          <c:cat>
            <c:strRef>
              <c:f>'PT Avg'!$A$4:$A$7</c:f>
              <c:strCache>
                <c:ptCount val="4"/>
                <c:pt idx="0">
                  <c:v>Youth (16–24)</c:v>
                </c:pt>
                <c:pt idx="1">
                  <c:v>Young Adults (25–34)</c:v>
                </c:pt>
                <c:pt idx="2">
                  <c:v>Adults (35–44)</c:v>
                </c:pt>
                <c:pt idx="3">
                  <c:v>Middle-aged (45–54)</c:v>
                </c:pt>
              </c:strCache>
            </c:strRef>
          </c:cat>
          <c:val>
            <c:numRef>
              <c:f>'PT Avg'!$B$4:$B$7</c:f>
              <c:numCache>
                <c:formatCode>0.0</c:formatCode>
                <c:ptCount val="4"/>
                <c:pt idx="0">
                  <c:v>5.2901639344262277</c:v>
                </c:pt>
                <c:pt idx="1">
                  <c:v>5.8208000000000011</c:v>
                </c:pt>
                <c:pt idx="2">
                  <c:v>5.4360759493670905</c:v>
                </c:pt>
                <c:pt idx="3">
                  <c:v>5.7861111111111123</c:v>
                </c:pt>
              </c:numCache>
            </c:numRef>
          </c:val>
          <c:extLst>
            <c:ext xmlns:c16="http://schemas.microsoft.com/office/drawing/2014/chart" uri="{C3380CC4-5D6E-409C-BE32-E72D297353CC}">
              <c16:uniqueId val="{00000000-C200-4CB9-91D8-1DA587376BEA}"/>
            </c:ext>
          </c:extLst>
        </c:ser>
        <c:ser>
          <c:idx val="1"/>
          <c:order val="1"/>
          <c:tx>
            <c:strRef>
              <c:f>'PT Avg'!$C$3</c:f>
              <c:strCache>
                <c:ptCount val="1"/>
                <c:pt idx="0">
                  <c:v>Average of Sleep_Quality(1-10)</c:v>
                </c:pt>
              </c:strCache>
            </c:strRef>
          </c:tx>
          <c:spPr>
            <a:solidFill>
              <a:schemeClr val="accent2"/>
            </a:solidFill>
            <a:ln>
              <a:noFill/>
            </a:ln>
            <a:effectLst/>
          </c:spPr>
          <c:invertIfNegative val="0"/>
          <c:cat>
            <c:strRef>
              <c:f>'PT Avg'!$A$4:$A$7</c:f>
              <c:strCache>
                <c:ptCount val="4"/>
                <c:pt idx="0">
                  <c:v>Youth (16–24)</c:v>
                </c:pt>
                <c:pt idx="1">
                  <c:v>Young Adults (25–34)</c:v>
                </c:pt>
                <c:pt idx="2">
                  <c:v>Adults (35–44)</c:v>
                </c:pt>
                <c:pt idx="3">
                  <c:v>Middle-aged (45–54)</c:v>
                </c:pt>
              </c:strCache>
            </c:strRef>
          </c:cat>
          <c:val>
            <c:numRef>
              <c:f>'PT Avg'!$C$4:$C$7</c:f>
              <c:numCache>
                <c:formatCode>0</c:formatCode>
                <c:ptCount val="4"/>
                <c:pt idx="0">
                  <c:v>6.5655737704918034</c:v>
                </c:pt>
                <c:pt idx="1">
                  <c:v>6.056</c:v>
                </c:pt>
                <c:pt idx="2">
                  <c:v>6.3417721518987342</c:v>
                </c:pt>
                <c:pt idx="3">
                  <c:v>6.0972222222222223</c:v>
                </c:pt>
              </c:numCache>
            </c:numRef>
          </c:val>
          <c:extLst>
            <c:ext xmlns:c16="http://schemas.microsoft.com/office/drawing/2014/chart" uri="{C3380CC4-5D6E-409C-BE32-E72D297353CC}">
              <c16:uniqueId val="{00000001-C200-4CB9-91D8-1DA587376BEA}"/>
            </c:ext>
          </c:extLst>
        </c:ser>
        <c:ser>
          <c:idx val="2"/>
          <c:order val="2"/>
          <c:tx>
            <c:strRef>
              <c:f>'PT Avg'!$D$3</c:f>
              <c:strCache>
                <c:ptCount val="1"/>
                <c:pt idx="0">
                  <c:v>Average of Stress_Level(1-10)</c:v>
                </c:pt>
              </c:strCache>
            </c:strRef>
          </c:tx>
          <c:spPr>
            <a:solidFill>
              <a:schemeClr val="accent3"/>
            </a:solidFill>
            <a:ln>
              <a:noFill/>
            </a:ln>
            <a:effectLst/>
          </c:spPr>
          <c:invertIfNegative val="0"/>
          <c:cat>
            <c:strRef>
              <c:f>'PT Avg'!$A$4:$A$7</c:f>
              <c:strCache>
                <c:ptCount val="4"/>
                <c:pt idx="0">
                  <c:v>Youth (16–24)</c:v>
                </c:pt>
                <c:pt idx="1">
                  <c:v>Young Adults (25–34)</c:v>
                </c:pt>
                <c:pt idx="2">
                  <c:v>Adults (35–44)</c:v>
                </c:pt>
                <c:pt idx="3">
                  <c:v>Middle-aged (45–54)</c:v>
                </c:pt>
              </c:strCache>
            </c:strRef>
          </c:cat>
          <c:val>
            <c:numRef>
              <c:f>'PT Avg'!$D$4:$D$7</c:f>
              <c:numCache>
                <c:formatCode>0</c:formatCode>
                <c:ptCount val="4"/>
                <c:pt idx="0">
                  <c:v>6.4508196721311473</c:v>
                </c:pt>
                <c:pt idx="1">
                  <c:v>6.7519999999999998</c:v>
                </c:pt>
                <c:pt idx="2">
                  <c:v>6.5822784810126587</c:v>
                </c:pt>
                <c:pt idx="3">
                  <c:v>6.75</c:v>
                </c:pt>
              </c:numCache>
            </c:numRef>
          </c:val>
          <c:extLst>
            <c:ext xmlns:c16="http://schemas.microsoft.com/office/drawing/2014/chart" uri="{C3380CC4-5D6E-409C-BE32-E72D297353CC}">
              <c16:uniqueId val="{00000002-C200-4CB9-91D8-1DA587376BEA}"/>
            </c:ext>
          </c:extLst>
        </c:ser>
        <c:ser>
          <c:idx val="3"/>
          <c:order val="3"/>
          <c:tx>
            <c:strRef>
              <c:f>'PT Avg'!$E$3</c:f>
              <c:strCache>
                <c:ptCount val="1"/>
                <c:pt idx="0">
                  <c:v>Average of Happiness_Index(1-10)</c:v>
                </c:pt>
              </c:strCache>
            </c:strRef>
          </c:tx>
          <c:spPr>
            <a:solidFill>
              <a:schemeClr val="accent4"/>
            </a:solidFill>
            <a:ln>
              <a:noFill/>
            </a:ln>
            <a:effectLst/>
          </c:spPr>
          <c:invertIfNegative val="0"/>
          <c:cat>
            <c:strRef>
              <c:f>'PT Avg'!$A$4:$A$7</c:f>
              <c:strCache>
                <c:ptCount val="4"/>
                <c:pt idx="0">
                  <c:v>Youth (16–24)</c:v>
                </c:pt>
                <c:pt idx="1">
                  <c:v>Young Adults (25–34)</c:v>
                </c:pt>
                <c:pt idx="2">
                  <c:v>Adults (35–44)</c:v>
                </c:pt>
                <c:pt idx="3">
                  <c:v>Middle-aged (45–54)</c:v>
                </c:pt>
              </c:strCache>
            </c:strRef>
          </c:cat>
          <c:val>
            <c:numRef>
              <c:f>'PT Avg'!$E$4:$E$7</c:f>
              <c:numCache>
                <c:formatCode>0</c:formatCode>
                <c:ptCount val="4"/>
                <c:pt idx="0">
                  <c:v>8.4262295081967213</c:v>
                </c:pt>
                <c:pt idx="1">
                  <c:v>8.1839999999999993</c:v>
                </c:pt>
                <c:pt idx="2">
                  <c:v>8.5</c:v>
                </c:pt>
                <c:pt idx="3">
                  <c:v>8.2222222222222214</c:v>
                </c:pt>
              </c:numCache>
            </c:numRef>
          </c:val>
          <c:extLst>
            <c:ext xmlns:c16="http://schemas.microsoft.com/office/drawing/2014/chart" uri="{C3380CC4-5D6E-409C-BE32-E72D297353CC}">
              <c16:uniqueId val="{00000003-C200-4CB9-91D8-1DA587376BEA}"/>
            </c:ext>
          </c:extLst>
        </c:ser>
        <c:ser>
          <c:idx val="4"/>
          <c:order val="4"/>
          <c:tx>
            <c:strRef>
              <c:f>'PT Avg'!$F$3</c:f>
              <c:strCache>
                <c:ptCount val="1"/>
                <c:pt idx="0">
                  <c:v>Average of Days_Without_Social_Media</c:v>
                </c:pt>
              </c:strCache>
            </c:strRef>
          </c:tx>
          <c:spPr>
            <a:solidFill>
              <a:schemeClr val="accent5"/>
            </a:solidFill>
            <a:ln>
              <a:noFill/>
            </a:ln>
            <a:effectLst/>
          </c:spPr>
          <c:invertIfNegative val="0"/>
          <c:cat>
            <c:strRef>
              <c:f>'PT Avg'!$A$4:$A$7</c:f>
              <c:strCache>
                <c:ptCount val="4"/>
                <c:pt idx="0">
                  <c:v>Youth (16–24)</c:v>
                </c:pt>
                <c:pt idx="1">
                  <c:v>Young Adults (25–34)</c:v>
                </c:pt>
                <c:pt idx="2">
                  <c:v>Adults (35–44)</c:v>
                </c:pt>
                <c:pt idx="3">
                  <c:v>Middle-aged (45–54)</c:v>
                </c:pt>
              </c:strCache>
            </c:strRef>
          </c:cat>
          <c:val>
            <c:numRef>
              <c:f>'PT Avg'!$F$4:$F$7</c:f>
              <c:numCache>
                <c:formatCode>0</c:formatCode>
                <c:ptCount val="4"/>
                <c:pt idx="0">
                  <c:v>3.3114754098360657</c:v>
                </c:pt>
                <c:pt idx="1">
                  <c:v>2.992</c:v>
                </c:pt>
                <c:pt idx="2">
                  <c:v>3.0949367088607596</c:v>
                </c:pt>
                <c:pt idx="3">
                  <c:v>3.2083333333333335</c:v>
                </c:pt>
              </c:numCache>
            </c:numRef>
          </c:val>
          <c:extLst>
            <c:ext xmlns:c16="http://schemas.microsoft.com/office/drawing/2014/chart" uri="{C3380CC4-5D6E-409C-BE32-E72D297353CC}">
              <c16:uniqueId val="{00000000-4516-4F74-9087-AC51D1F19935}"/>
            </c:ext>
          </c:extLst>
        </c:ser>
        <c:ser>
          <c:idx val="5"/>
          <c:order val="5"/>
          <c:tx>
            <c:strRef>
              <c:f>'PT Avg'!$G$3</c:f>
              <c:strCache>
                <c:ptCount val="1"/>
                <c:pt idx="0">
                  <c:v>Average of Exercise_Frequency(week)</c:v>
                </c:pt>
              </c:strCache>
            </c:strRef>
          </c:tx>
          <c:spPr>
            <a:solidFill>
              <a:schemeClr val="accent6"/>
            </a:solidFill>
            <a:ln>
              <a:noFill/>
            </a:ln>
            <a:effectLst/>
          </c:spPr>
          <c:invertIfNegative val="0"/>
          <c:cat>
            <c:strRef>
              <c:f>'PT Avg'!$A$4:$A$7</c:f>
              <c:strCache>
                <c:ptCount val="4"/>
                <c:pt idx="0">
                  <c:v>Youth (16–24)</c:v>
                </c:pt>
                <c:pt idx="1">
                  <c:v>Young Adults (25–34)</c:v>
                </c:pt>
                <c:pt idx="2">
                  <c:v>Adults (35–44)</c:v>
                </c:pt>
                <c:pt idx="3">
                  <c:v>Middle-aged (45–54)</c:v>
                </c:pt>
              </c:strCache>
            </c:strRef>
          </c:cat>
          <c:val>
            <c:numRef>
              <c:f>'PT Avg'!$G$4:$G$7</c:f>
              <c:numCache>
                <c:formatCode>0</c:formatCode>
                <c:ptCount val="4"/>
                <c:pt idx="0">
                  <c:v>2.2704918032786887</c:v>
                </c:pt>
                <c:pt idx="1">
                  <c:v>2.56</c:v>
                </c:pt>
                <c:pt idx="2">
                  <c:v>2.4050632911392404</c:v>
                </c:pt>
                <c:pt idx="3">
                  <c:v>2.6527777777777777</c:v>
                </c:pt>
              </c:numCache>
            </c:numRef>
          </c:val>
          <c:extLst>
            <c:ext xmlns:c16="http://schemas.microsoft.com/office/drawing/2014/chart" uri="{C3380CC4-5D6E-409C-BE32-E72D297353CC}">
              <c16:uniqueId val="{00000002-4516-4F74-9087-AC51D1F19935}"/>
            </c:ext>
          </c:extLst>
        </c:ser>
        <c:dLbls>
          <c:showLegendKey val="0"/>
          <c:showVal val="0"/>
          <c:showCatName val="0"/>
          <c:showSerName val="0"/>
          <c:showPercent val="0"/>
          <c:showBubbleSize val="0"/>
        </c:dLbls>
        <c:gapWidth val="219"/>
        <c:overlap val="-27"/>
        <c:axId val="701986848"/>
        <c:axId val="701987808"/>
      </c:barChart>
      <c:catAx>
        <c:axId val="70198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987808"/>
        <c:crosses val="autoZero"/>
        <c:auto val="1"/>
        <c:lblAlgn val="ctr"/>
        <c:lblOffset val="100"/>
        <c:noMultiLvlLbl val="0"/>
      </c:catAx>
      <c:valAx>
        <c:axId val="7019878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98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Avg!PivotTable4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Avg'!$B$79:$B$80</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 Avg'!$A$81:$A$85</c:f>
              <c:strCache>
                <c:ptCount val="4"/>
                <c:pt idx="0">
                  <c:v>Youth (16–24)</c:v>
                </c:pt>
                <c:pt idx="1">
                  <c:v>Young Adults (25–34)</c:v>
                </c:pt>
                <c:pt idx="2">
                  <c:v>Adults (35–44)</c:v>
                </c:pt>
                <c:pt idx="3">
                  <c:v>Middle-aged (45–54)</c:v>
                </c:pt>
              </c:strCache>
            </c:strRef>
          </c:cat>
          <c:val>
            <c:numRef>
              <c:f>'PT Avg'!$B$81:$B$85</c:f>
              <c:numCache>
                <c:formatCode>General</c:formatCode>
                <c:ptCount val="4"/>
                <c:pt idx="0">
                  <c:v>13</c:v>
                </c:pt>
                <c:pt idx="1">
                  <c:v>25</c:v>
                </c:pt>
                <c:pt idx="2">
                  <c:v>29</c:v>
                </c:pt>
                <c:pt idx="3">
                  <c:v>13</c:v>
                </c:pt>
              </c:numCache>
            </c:numRef>
          </c:val>
          <c:smooth val="0"/>
          <c:extLst>
            <c:ext xmlns:c16="http://schemas.microsoft.com/office/drawing/2014/chart" uri="{C3380CC4-5D6E-409C-BE32-E72D297353CC}">
              <c16:uniqueId val="{00000000-0EEE-4B2D-BFBD-0DAEB23279F9}"/>
            </c:ext>
          </c:extLst>
        </c:ser>
        <c:ser>
          <c:idx val="1"/>
          <c:order val="1"/>
          <c:tx>
            <c:strRef>
              <c:f>'PT Avg'!$C$79:$C$80</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 Avg'!$A$81:$A$85</c:f>
              <c:strCache>
                <c:ptCount val="4"/>
                <c:pt idx="0">
                  <c:v>Youth (16–24)</c:v>
                </c:pt>
                <c:pt idx="1">
                  <c:v>Young Adults (25–34)</c:v>
                </c:pt>
                <c:pt idx="2">
                  <c:v>Adults (35–44)</c:v>
                </c:pt>
                <c:pt idx="3">
                  <c:v>Middle-aged (45–54)</c:v>
                </c:pt>
              </c:strCache>
            </c:strRef>
          </c:cat>
          <c:val>
            <c:numRef>
              <c:f>'PT Avg'!$C$81:$C$85</c:f>
              <c:numCache>
                <c:formatCode>General</c:formatCode>
                <c:ptCount val="4"/>
                <c:pt idx="0">
                  <c:v>15</c:v>
                </c:pt>
                <c:pt idx="1">
                  <c:v>19</c:v>
                </c:pt>
                <c:pt idx="2">
                  <c:v>24</c:v>
                </c:pt>
                <c:pt idx="3">
                  <c:v>13</c:v>
                </c:pt>
              </c:numCache>
            </c:numRef>
          </c:val>
          <c:smooth val="0"/>
          <c:extLst>
            <c:ext xmlns:c16="http://schemas.microsoft.com/office/drawing/2014/chart" uri="{C3380CC4-5D6E-409C-BE32-E72D297353CC}">
              <c16:uniqueId val="{00000001-0EEE-4B2D-BFBD-0DAEB23279F9}"/>
            </c:ext>
          </c:extLst>
        </c:ser>
        <c:ser>
          <c:idx val="2"/>
          <c:order val="2"/>
          <c:tx>
            <c:strRef>
              <c:f>'PT Avg'!$D$79:$D$80</c:f>
              <c:strCache>
                <c:ptCount val="1"/>
                <c:pt idx="0">
                  <c:v>LinkedIn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 Avg'!$A$81:$A$85</c:f>
              <c:strCache>
                <c:ptCount val="4"/>
                <c:pt idx="0">
                  <c:v>Youth (16–24)</c:v>
                </c:pt>
                <c:pt idx="1">
                  <c:v>Young Adults (25–34)</c:v>
                </c:pt>
                <c:pt idx="2">
                  <c:v>Adults (35–44)</c:v>
                </c:pt>
                <c:pt idx="3">
                  <c:v>Middle-aged (45–54)</c:v>
                </c:pt>
              </c:strCache>
            </c:strRef>
          </c:cat>
          <c:val>
            <c:numRef>
              <c:f>'PT Avg'!$D$81:$D$85</c:f>
              <c:numCache>
                <c:formatCode>General</c:formatCode>
                <c:ptCount val="4"/>
                <c:pt idx="0">
                  <c:v>20</c:v>
                </c:pt>
                <c:pt idx="1">
                  <c:v>18</c:v>
                </c:pt>
                <c:pt idx="2">
                  <c:v>31</c:v>
                </c:pt>
                <c:pt idx="3">
                  <c:v>14</c:v>
                </c:pt>
              </c:numCache>
            </c:numRef>
          </c:val>
          <c:smooth val="0"/>
          <c:extLst>
            <c:ext xmlns:c16="http://schemas.microsoft.com/office/drawing/2014/chart" uri="{C3380CC4-5D6E-409C-BE32-E72D297353CC}">
              <c16:uniqueId val="{00000002-0EEE-4B2D-BFBD-0DAEB23279F9}"/>
            </c:ext>
          </c:extLst>
        </c:ser>
        <c:ser>
          <c:idx val="3"/>
          <c:order val="3"/>
          <c:tx>
            <c:strRef>
              <c:f>'PT Avg'!$E$79:$E$80</c:f>
              <c:strCache>
                <c:ptCount val="1"/>
                <c:pt idx="0">
                  <c:v>TikTok</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'PT Avg'!$A$81:$A$85</c:f>
              <c:strCache>
                <c:ptCount val="4"/>
                <c:pt idx="0">
                  <c:v>Youth (16–24)</c:v>
                </c:pt>
                <c:pt idx="1">
                  <c:v>Young Adults (25–34)</c:v>
                </c:pt>
                <c:pt idx="2">
                  <c:v>Adults (35–44)</c:v>
                </c:pt>
                <c:pt idx="3">
                  <c:v>Middle-aged (45–54)</c:v>
                </c:pt>
              </c:strCache>
            </c:strRef>
          </c:cat>
          <c:val>
            <c:numRef>
              <c:f>'PT Avg'!$E$81:$E$85</c:f>
              <c:numCache>
                <c:formatCode>General</c:formatCode>
                <c:ptCount val="4"/>
                <c:pt idx="0">
                  <c:v>22</c:v>
                </c:pt>
                <c:pt idx="1">
                  <c:v>25</c:v>
                </c:pt>
                <c:pt idx="2">
                  <c:v>33</c:v>
                </c:pt>
                <c:pt idx="3">
                  <c:v>12</c:v>
                </c:pt>
              </c:numCache>
            </c:numRef>
          </c:val>
          <c:smooth val="0"/>
          <c:extLst>
            <c:ext xmlns:c16="http://schemas.microsoft.com/office/drawing/2014/chart" uri="{C3380CC4-5D6E-409C-BE32-E72D297353CC}">
              <c16:uniqueId val="{00000003-0EEE-4B2D-BFBD-0DAEB23279F9}"/>
            </c:ext>
          </c:extLst>
        </c:ser>
        <c:ser>
          <c:idx val="4"/>
          <c:order val="4"/>
          <c:tx>
            <c:strRef>
              <c:f>'PT Avg'!$F$79:$F$80</c:f>
              <c:strCache>
                <c:ptCount val="1"/>
                <c:pt idx="0">
                  <c:v>X (Twitter)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'PT Avg'!$A$81:$A$85</c:f>
              <c:strCache>
                <c:ptCount val="4"/>
                <c:pt idx="0">
                  <c:v>Youth (16–24)</c:v>
                </c:pt>
                <c:pt idx="1">
                  <c:v>Young Adults (25–34)</c:v>
                </c:pt>
                <c:pt idx="2">
                  <c:v>Adults (35–44)</c:v>
                </c:pt>
                <c:pt idx="3">
                  <c:v>Middle-aged (45–54)</c:v>
                </c:pt>
              </c:strCache>
            </c:strRef>
          </c:cat>
          <c:val>
            <c:numRef>
              <c:f>'PT Avg'!$F$81:$F$85</c:f>
              <c:numCache>
                <c:formatCode>General</c:formatCode>
                <c:ptCount val="4"/>
                <c:pt idx="0">
                  <c:v>30</c:v>
                </c:pt>
                <c:pt idx="1">
                  <c:v>23</c:v>
                </c:pt>
                <c:pt idx="2">
                  <c:v>20</c:v>
                </c:pt>
                <c:pt idx="3">
                  <c:v>9</c:v>
                </c:pt>
              </c:numCache>
            </c:numRef>
          </c:val>
          <c:smooth val="0"/>
          <c:extLst>
            <c:ext xmlns:c16="http://schemas.microsoft.com/office/drawing/2014/chart" uri="{C3380CC4-5D6E-409C-BE32-E72D297353CC}">
              <c16:uniqueId val="{00000004-0EEE-4B2D-BFBD-0DAEB23279F9}"/>
            </c:ext>
          </c:extLst>
        </c:ser>
        <c:ser>
          <c:idx val="5"/>
          <c:order val="5"/>
          <c:tx>
            <c:strRef>
              <c:f>'PT Avg'!$G$79:$G$80</c:f>
              <c:strCache>
                <c:ptCount val="1"/>
                <c:pt idx="0">
                  <c:v>YouTube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'PT Avg'!$A$81:$A$85</c:f>
              <c:strCache>
                <c:ptCount val="4"/>
                <c:pt idx="0">
                  <c:v>Youth (16–24)</c:v>
                </c:pt>
                <c:pt idx="1">
                  <c:v>Young Adults (25–34)</c:v>
                </c:pt>
                <c:pt idx="2">
                  <c:v>Adults (35–44)</c:v>
                </c:pt>
                <c:pt idx="3">
                  <c:v>Middle-aged (45–54)</c:v>
                </c:pt>
              </c:strCache>
            </c:strRef>
          </c:cat>
          <c:val>
            <c:numRef>
              <c:f>'PT Avg'!$G$81:$G$85</c:f>
              <c:numCache>
                <c:formatCode>General</c:formatCode>
                <c:ptCount val="4"/>
                <c:pt idx="0">
                  <c:v>22</c:v>
                </c:pt>
                <c:pt idx="1">
                  <c:v>15</c:v>
                </c:pt>
                <c:pt idx="2">
                  <c:v>21</c:v>
                </c:pt>
                <c:pt idx="3">
                  <c:v>11</c:v>
                </c:pt>
              </c:numCache>
            </c:numRef>
          </c:val>
          <c:smooth val="0"/>
          <c:extLst>
            <c:ext xmlns:c16="http://schemas.microsoft.com/office/drawing/2014/chart" uri="{C3380CC4-5D6E-409C-BE32-E72D297353CC}">
              <c16:uniqueId val="{00000005-0EEE-4B2D-BFBD-0DAEB23279F9}"/>
            </c:ext>
          </c:extLst>
        </c:ser>
        <c:dLbls>
          <c:showLegendKey val="0"/>
          <c:showVal val="0"/>
          <c:showCatName val="0"/>
          <c:showSerName val="0"/>
          <c:showPercent val="0"/>
          <c:showBubbleSize val="0"/>
        </c:dLbls>
        <c:marker val="1"/>
        <c:smooth val="0"/>
        <c:axId val="426971648"/>
        <c:axId val="426970208"/>
      </c:lineChart>
      <c:catAx>
        <c:axId val="42697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70208"/>
        <c:crosses val="autoZero"/>
        <c:auto val="1"/>
        <c:lblAlgn val="ctr"/>
        <c:lblOffset val="100"/>
        <c:noMultiLvlLbl val="0"/>
      </c:catAx>
      <c:valAx>
        <c:axId val="42697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97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Avg!PivotTable1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Avg'!$B$29</c:f>
              <c:strCache>
                <c:ptCount val="1"/>
                <c:pt idx="0">
                  <c:v>Average of Sleep_Quality(1-10)</c:v>
                </c:pt>
              </c:strCache>
            </c:strRef>
          </c:tx>
          <c:spPr>
            <a:solidFill>
              <a:schemeClr val="accent1"/>
            </a:solidFill>
            <a:ln>
              <a:noFill/>
            </a:ln>
            <a:effectLst/>
          </c:spPr>
          <c:invertIfNegative val="0"/>
          <c:cat>
            <c:strRef>
              <c:f>'PT Avg'!$A$30:$A$33</c:f>
              <c:strCache>
                <c:ptCount val="4"/>
                <c:pt idx="0">
                  <c:v>Low (0–3 hrs)</c:v>
                </c:pt>
                <c:pt idx="1">
                  <c:v>Moderate (3–6 hrs)</c:v>
                </c:pt>
                <c:pt idx="2">
                  <c:v>High (6–8 hrs)</c:v>
                </c:pt>
                <c:pt idx="3">
                  <c:v>Very High (8+ hrs)</c:v>
                </c:pt>
              </c:strCache>
            </c:strRef>
          </c:cat>
          <c:val>
            <c:numRef>
              <c:f>'PT Avg'!$B$30:$B$33</c:f>
              <c:numCache>
                <c:formatCode>0</c:formatCode>
                <c:ptCount val="4"/>
                <c:pt idx="0">
                  <c:v>8.4285714285714288</c:v>
                </c:pt>
                <c:pt idx="1">
                  <c:v>6.9148936170212769</c:v>
                </c:pt>
                <c:pt idx="2">
                  <c:v>5.4161849710982661</c:v>
                </c:pt>
                <c:pt idx="3">
                  <c:v>4.1764705882352944</c:v>
                </c:pt>
              </c:numCache>
            </c:numRef>
          </c:val>
          <c:extLst>
            <c:ext xmlns:c16="http://schemas.microsoft.com/office/drawing/2014/chart" uri="{C3380CC4-5D6E-409C-BE32-E72D297353CC}">
              <c16:uniqueId val="{00000000-DB52-4926-B14B-BAD227EADE8D}"/>
            </c:ext>
          </c:extLst>
        </c:ser>
        <c:ser>
          <c:idx val="1"/>
          <c:order val="1"/>
          <c:tx>
            <c:strRef>
              <c:f>'PT Avg'!$C$29</c:f>
              <c:strCache>
                <c:ptCount val="1"/>
                <c:pt idx="0">
                  <c:v>Average of Stress_Level(1-10)</c:v>
                </c:pt>
              </c:strCache>
            </c:strRef>
          </c:tx>
          <c:spPr>
            <a:solidFill>
              <a:schemeClr val="accent2"/>
            </a:solidFill>
            <a:ln>
              <a:noFill/>
            </a:ln>
            <a:effectLst/>
          </c:spPr>
          <c:invertIfNegative val="0"/>
          <c:cat>
            <c:strRef>
              <c:f>'PT Avg'!$A$30:$A$33</c:f>
              <c:strCache>
                <c:ptCount val="4"/>
                <c:pt idx="0">
                  <c:v>Low (0–3 hrs)</c:v>
                </c:pt>
                <c:pt idx="1">
                  <c:v>Moderate (3–6 hrs)</c:v>
                </c:pt>
                <c:pt idx="2">
                  <c:v>High (6–8 hrs)</c:v>
                </c:pt>
                <c:pt idx="3">
                  <c:v>Very High (8+ hrs)</c:v>
                </c:pt>
              </c:strCache>
            </c:strRef>
          </c:cat>
          <c:val>
            <c:numRef>
              <c:f>'PT Avg'!$C$30:$C$33</c:f>
              <c:numCache>
                <c:formatCode>0</c:formatCode>
                <c:ptCount val="4"/>
                <c:pt idx="0">
                  <c:v>4.4000000000000004</c:v>
                </c:pt>
                <c:pt idx="1">
                  <c:v>5.9829787234042557</c:v>
                </c:pt>
                <c:pt idx="2">
                  <c:v>7.5144508670520231</c:v>
                </c:pt>
                <c:pt idx="3">
                  <c:v>8.735294117647058</c:v>
                </c:pt>
              </c:numCache>
            </c:numRef>
          </c:val>
          <c:extLst>
            <c:ext xmlns:c16="http://schemas.microsoft.com/office/drawing/2014/chart" uri="{C3380CC4-5D6E-409C-BE32-E72D297353CC}">
              <c16:uniqueId val="{00000001-DB52-4926-B14B-BAD227EADE8D}"/>
            </c:ext>
          </c:extLst>
        </c:ser>
        <c:ser>
          <c:idx val="2"/>
          <c:order val="2"/>
          <c:tx>
            <c:strRef>
              <c:f>'PT Avg'!$D$29</c:f>
              <c:strCache>
                <c:ptCount val="1"/>
                <c:pt idx="0">
                  <c:v>Average of Happiness_Index(1-10)</c:v>
                </c:pt>
              </c:strCache>
            </c:strRef>
          </c:tx>
          <c:spPr>
            <a:solidFill>
              <a:schemeClr val="accent3"/>
            </a:solidFill>
            <a:ln>
              <a:noFill/>
            </a:ln>
            <a:effectLst/>
          </c:spPr>
          <c:invertIfNegative val="0"/>
          <c:cat>
            <c:strRef>
              <c:f>'PT Avg'!$A$30:$A$33</c:f>
              <c:strCache>
                <c:ptCount val="4"/>
                <c:pt idx="0">
                  <c:v>Low (0–3 hrs)</c:v>
                </c:pt>
                <c:pt idx="1">
                  <c:v>Moderate (3–6 hrs)</c:v>
                </c:pt>
                <c:pt idx="2">
                  <c:v>High (6–8 hrs)</c:v>
                </c:pt>
                <c:pt idx="3">
                  <c:v>Very High (8+ hrs)</c:v>
                </c:pt>
              </c:strCache>
            </c:strRef>
          </c:cat>
          <c:val>
            <c:numRef>
              <c:f>'PT Avg'!$D$30:$D$33</c:f>
              <c:numCache>
                <c:formatCode>0</c:formatCode>
                <c:ptCount val="4"/>
                <c:pt idx="0">
                  <c:v>9.8000000000000007</c:v>
                </c:pt>
                <c:pt idx="1">
                  <c:v>9.0978723404255319</c:v>
                </c:pt>
                <c:pt idx="2">
                  <c:v>7.497109826589595</c:v>
                </c:pt>
                <c:pt idx="3">
                  <c:v>6.117647058823529</c:v>
                </c:pt>
              </c:numCache>
            </c:numRef>
          </c:val>
          <c:extLst>
            <c:ext xmlns:c16="http://schemas.microsoft.com/office/drawing/2014/chart" uri="{C3380CC4-5D6E-409C-BE32-E72D297353CC}">
              <c16:uniqueId val="{00000002-DB52-4926-B14B-BAD227EADE8D}"/>
            </c:ext>
          </c:extLst>
        </c:ser>
        <c:ser>
          <c:idx val="3"/>
          <c:order val="3"/>
          <c:tx>
            <c:strRef>
              <c:f>'PT Avg'!$E$29</c:f>
              <c:strCache>
                <c:ptCount val="1"/>
                <c:pt idx="0">
                  <c:v>Average of Days_Without_Social_Media</c:v>
                </c:pt>
              </c:strCache>
            </c:strRef>
          </c:tx>
          <c:spPr>
            <a:solidFill>
              <a:schemeClr val="accent4"/>
            </a:solidFill>
            <a:ln>
              <a:noFill/>
            </a:ln>
            <a:effectLst/>
          </c:spPr>
          <c:invertIfNegative val="0"/>
          <c:cat>
            <c:strRef>
              <c:f>'PT Avg'!$A$30:$A$33</c:f>
              <c:strCache>
                <c:ptCount val="4"/>
                <c:pt idx="0">
                  <c:v>Low (0–3 hrs)</c:v>
                </c:pt>
                <c:pt idx="1">
                  <c:v>Moderate (3–6 hrs)</c:v>
                </c:pt>
                <c:pt idx="2">
                  <c:v>High (6–8 hrs)</c:v>
                </c:pt>
                <c:pt idx="3">
                  <c:v>Very High (8+ hrs)</c:v>
                </c:pt>
              </c:strCache>
            </c:strRef>
          </c:cat>
          <c:val>
            <c:numRef>
              <c:f>'PT Avg'!$E$30:$E$33</c:f>
              <c:numCache>
                <c:formatCode>0</c:formatCode>
                <c:ptCount val="4"/>
                <c:pt idx="0">
                  <c:v>3.4857142857142858</c:v>
                </c:pt>
                <c:pt idx="1">
                  <c:v>3.0978723404255319</c:v>
                </c:pt>
                <c:pt idx="2">
                  <c:v>3.1618497109826591</c:v>
                </c:pt>
                <c:pt idx="3">
                  <c:v>2.9705882352941178</c:v>
                </c:pt>
              </c:numCache>
            </c:numRef>
          </c:val>
          <c:extLst>
            <c:ext xmlns:c16="http://schemas.microsoft.com/office/drawing/2014/chart" uri="{C3380CC4-5D6E-409C-BE32-E72D297353CC}">
              <c16:uniqueId val="{00000003-DB52-4926-B14B-BAD227EADE8D}"/>
            </c:ext>
          </c:extLst>
        </c:ser>
        <c:ser>
          <c:idx val="4"/>
          <c:order val="4"/>
          <c:tx>
            <c:strRef>
              <c:f>'PT Avg'!$F$29</c:f>
              <c:strCache>
                <c:ptCount val="1"/>
                <c:pt idx="0">
                  <c:v>Average of Exercise_Frequency(week)</c:v>
                </c:pt>
              </c:strCache>
            </c:strRef>
          </c:tx>
          <c:spPr>
            <a:solidFill>
              <a:schemeClr val="accent5"/>
            </a:solidFill>
            <a:ln>
              <a:noFill/>
            </a:ln>
            <a:effectLst/>
          </c:spPr>
          <c:invertIfNegative val="0"/>
          <c:cat>
            <c:strRef>
              <c:f>'PT Avg'!$A$30:$A$33</c:f>
              <c:strCache>
                <c:ptCount val="4"/>
                <c:pt idx="0">
                  <c:v>Low (0–3 hrs)</c:v>
                </c:pt>
                <c:pt idx="1">
                  <c:v>Moderate (3–6 hrs)</c:v>
                </c:pt>
                <c:pt idx="2">
                  <c:v>High (6–8 hrs)</c:v>
                </c:pt>
                <c:pt idx="3">
                  <c:v>Very High (8+ hrs)</c:v>
                </c:pt>
              </c:strCache>
            </c:strRef>
          </c:cat>
          <c:val>
            <c:numRef>
              <c:f>'PT Avg'!$F$30:$F$33</c:f>
              <c:numCache>
                <c:formatCode>0</c:formatCode>
                <c:ptCount val="4"/>
                <c:pt idx="0">
                  <c:v>2.9428571428571431</c:v>
                </c:pt>
                <c:pt idx="1">
                  <c:v>2.4425531914893619</c:v>
                </c:pt>
                <c:pt idx="2">
                  <c:v>2.3930635838150289</c:v>
                </c:pt>
                <c:pt idx="3">
                  <c:v>2.2647058823529411</c:v>
                </c:pt>
              </c:numCache>
            </c:numRef>
          </c:val>
          <c:extLst>
            <c:ext xmlns:c16="http://schemas.microsoft.com/office/drawing/2014/chart" uri="{C3380CC4-5D6E-409C-BE32-E72D297353CC}">
              <c16:uniqueId val="{00000004-DB52-4926-B14B-BAD227EADE8D}"/>
            </c:ext>
          </c:extLst>
        </c:ser>
        <c:dLbls>
          <c:showLegendKey val="0"/>
          <c:showVal val="0"/>
          <c:showCatName val="0"/>
          <c:showSerName val="0"/>
          <c:showPercent val="0"/>
          <c:showBubbleSize val="0"/>
        </c:dLbls>
        <c:gapWidth val="219"/>
        <c:overlap val="-27"/>
        <c:axId val="288352448"/>
        <c:axId val="288352928"/>
      </c:barChart>
      <c:catAx>
        <c:axId val="288352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52928"/>
        <c:crosses val="autoZero"/>
        <c:auto val="1"/>
        <c:lblAlgn val="ctr"/>
        <c:lblOffset val="100"/>
        <c:noMultiLvlLbl val="0"/>
      </c:catAx>
      <c:valAx>
        <c:axId val="288352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352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Avg!pvtAgeGroups</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Avg'!$B$105:$B$106</c:f>
              <c:strCache>
                <c:ptCount val="1"/>
                <c:pt idx="0">
                  <c:v>Facebook</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 Avg'!$A$107:$A$111</c:f>
              <c:strCache>
                <c:ptCount val="4"/>
                <c:pt idx="0">
                  <c:v>Youth (16–24)</c:v>
                </c:pt>
                <c:pt idx="1">
                  <c:v>Young Adults (25–34)</c:v>
                </c:pt>
                <c:pt idx="2">
                  <c:v>Adults (35–44)</c:v>
                </c:pt>
                <c:pt idx="3">
                  <c:v>Middle-aged (45–54)</c:v>
                </c:pt>
              </c:strCache>
            </c:strRef>
          </c:cat>
          <c:val>
            <c:numRef>
              <c:f>'PT Avg'!$B$107:$B$111</c:f>
              <c:numCache>
                <c:formatCode>0.00%</c:formatCode>
                <c:ptCount val="4"/>
                <c:pt idx="0">
                  <c:v>2.7253668763102725E-2</c:v>
                </c:pt>
                <c:pt idx="1">
                  <c:v>5.2410901467505239E-2</c:v>
                </c:pt>
                <c:pt idx="2">
                  <c:v>6.0796645702306078E-2</c:v>
                </c:pt>
                <c:pt idx="3">
                  <c:v>2.7253668763102725E-2</c:v>
                </c:pt>
              </c:numCache>
            </c:numRef>
          </c:val>
          <c:smooth val="0"/>
          <c:extLst>
            <c:ext xmlns:c16="http://schemas.microsoft.com/office/drawing/2014/chart" uri="{C3380CC4-5D6E-409C-BE32-E72D297353CC}">
              <c16:uniqueId val="{00000000-5839-4C37-814E-3D978D28252F}"/>
            </c:ext>
          </c:extLst>
        </c:ser>
        <c:ser>
          <c:idx val="1"/>
          <c:order val="1"/>
          <c:tx>
            <c:strRef>
              <c:f>'PT Avg'!$C$105:$C$106</c:f>
              <c:strCache>
                <c:ptCount val="1"/>
                <c:pt idx="0">
                  <c:v>Instagram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 Avg'!$A$107:$A$111</c:f>
              <c:strCache>
                <c:ptCount val="4"/>
                <c:pt idx="0">
                  <c:v>Youth (16–24)</c:v>
                </c:pt>
                <c:pt idx="1">
                  <c:v>Young Adults (25–34)</c:v>
                </c:pt>
                <c:pt idx="2">
                  <c:v>Adults (35–44)</c:v>
                </c:pt>
                <c:pt idx="3">
                  <c:v>Middle-aged (45–54)</c:v>
                </c:pt>
              </c:strCache>
            </c:strRef>
          </c:cat>
          <c:val>
            <c:numRef>
              <c:f>'PT Avg'!$C$107:$C$111</c:f>
              <c:numCache>
                <c:formatCode>0.00%</c:formatCode>
                <c:ptCount val="4"/>
                <c:pt idx="0">
                  <c:v>3.1446540880503145E-2</c:v>
                </c:pt>
                <c:pt idx="1">
                  <c:v>3.9832285115303984E-2</c:v>
                </c:pt>
                <c:pt idx="2">
                  <c:v>5.0314465408805034E-2</c:v>
                </c:pt>
                <c:pt idx="3">
                  <c:v>2.7253668763102725E-2</c:v>
                </c:pt>
              </c:numCache>
            </c:numRef>
          </c:val>
          <c:smooth val="0"/>
          <c:extLst>
            <c:ext xmlns:c16="http://schemas.microsoft.com/office/drawing/2014/chart" uri="{C3380CC4-5D6E-409C-BE32-E72D297353CC}">
              <c16:uniqueId val="{00000001-5839-4C37-814E-3D978D28252F}"/>
            </c:ext>
          </c:extLst>
        </c:ser>
        <c:ser>
          <c:idx val="2"/>
          <c:order val="2"/>
          <c:tx>
            <c:strRef>
              <c:f>'PT Avg'!$D$105:$D$106</c:f>
              <c:strCache>
                <c:ptCount val="1"/>
                <c:pt idx="0">
                  <c:v>LinkedIn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 Avg'!$A$107:$A$111</c:f>
              <c:strCache>
                <c:ptCount val="4"/>
                <c:pt idx="0">
                  <c:v>Youth (16–24)</c:v>
                </c:pt>
                <c:pt idx="1">
                  <c:v>Young Adults (25–34)</c:v>
                </c:pt>
                <c:pt idx="2">
                  <c:v>Adults (35–44)</c:v>
                </c:pt>
                <c:pt idx="3">
                  <c:v>Middle-aged (45–54)</c:v>
                </c:pt>
              </c:strCache>
            </c:strRef>
          </c:cat>
          <c:val>
            <c:numRef>
              <c:f>'PT Avg'!$D$107:$D$111</c:f>
              <c:numCache>
                <c:formatCode>0.00%</c:formatCode>
                <c:ptCount val="4"/>
                <c:pt idx="0">
                  <c:v>4.1928721174004195E-2</c:v>
                </c:pt>
                <c:pt idx="1">
                  <c:v>3.7735849056603772E-2</c:v>
                </c:pt>
                <c:pt idx="2">
                  <c:v>6.4989517819706494E-2</c:v>
                </c:pt>
                <c:pt idx="3">
                  <c:v>2.9350104821802937E-2</c:v>
                </c:pt>
              </c:numCache>
            </c:numRef>
          </c:val>
          <c:smooth val="0"/>
          <c:extLst>
            <c:ext xmlns:c16="http://schemas.microsoft.com/office/drawing/2014/chart" uri="{C3380CC4-5D6E-409C-BE32-E72D297353CC}">
              <c16:uniqueId val="{00000002-5839-4C37-814E-3D978D28252F}"/>
            </c:ext>
          </c:extLst>
        </c:ser>
        <c:ser>
          <c:idx val="3"/>
          <c:order val="3"/>
          <c:tx>
            <c:strRef>
              <c:f>'PT Avg'!$E$105:$E$106</c:f>
              <c:strCache>
                <c:ptCount val="1"/>
                <c:pt idx="0">
                  <c:v>TikTok</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'PT Avg'!$A$107:$A$111</c:f>
              <c:strCache>
                <c:ptCount val="4"/>
                <c:pt idx="0">
                  <c:v>Youth (16–24)</c:v>
                </c:pt>
                <c:pt idx="1">
                  <c:v>Young Adults (25–34)</c:v>
                </c:pt>
                <c:pt idx="2">
                  <c:v>Adults (35–44)</c:v>
                </c:pt>
                <c:pt idx="3">
                  <c:v>Middle-aged (45–54)</c:v>
                </c:pt>
              </c:strCache>
            </c:strRef>
          </c:cat>
          <c:val>
            <c:numRef>
              <c:f>'PT Avg'!$E$107:$E$111</c:f>
              <c:numCache>
                <c:formatCode>0.00%</c:formatCode>
                <c:ptCount val="4"/>
                <c:pt idx="0">
                  <c:v>4.6121593291404611E-2</c:v>
                </c:pt>
                <c:pt idx="1">
                  <c:v>5.2410901467505239E-2</c:v>
                </c:pt>
                <c:pt idx="2">
                  <c:v>6.9182389937106917E-2</c:v>
                </c:pt>
                <c:pt idx="3">
                  <c:v>2.5157232704402517E-2</c:v>
                </c:pt>
              </c:numCache>
            </c:numRef>
          </c:val>
          <c:smooth val="0"/>
          <c:extLst>
            <c:ext xmlns:c16="http://schemas.microsoft.com/office/drawing/2014/chart" uri="{C3380CC4-5D6E-409C-BE32-E72D297353CC}">
              <c16:uniqueId val="{00000003-5839-4C37-814E-3D978D28252F}"/>
            </c:ext>
          </c:extLst>
        </c:ser>
        <c:ser>
          <c:idx val="4"/>
          <c:order val="4"/>
          <c:tx>
            <c:strRef>
              <c:f>'PT Avg'!$F$105:$F$106</c:f>
              <c:strCache>
                <c:ptCount val="1"/>
                <c:pt idx="0">
                  <c:v>X (Twitter)</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'PT Avg'!$A$107:$A$111</c:f>
              <c:strCache>
                <c:ptCount val="4"/>
                <c:pt idx="0">
                  <c:v>Youth (16–24)</c:v>
                </c:pt>
                <c:pt idx="1">
                  <c:v>Young Adults (25–34)</c:v>
                </c:pt>
                <c:pt idx="2">
                  <c:v>Adults (35–44)</c:v>
                </c:pt>
                <c:pt idx="3">
                  <c:v>Middle-aged (45–54)</c:v>
                </c:pt>
              </c:strCache>
            </c:strRef>
          </c:cat>
          <c:val>
            <c:numRef>
              <c:f>'PT Avg'!$F$107:$F$111</c:f>
              <c:numCache>
                <c:formatCode>0.00%</c:formatCode>
                <c:ptCount val="4"/>
                <c:pt idx="0">
                  <c:v>6.2893081761006289E-2</c:v>
                </c:pt>
                <c:pt idx="1">
                  <c:v>4.8218029350104823E-2</c:v>
                </c:pt>
                <c:pt idx="2">
                  <c:v>4.1928721174004195E-2</c:v>
                </c:pt>
                <c:pt idx="3">
                  <c:v>1.8867924528301886E-2</c:v>
                </c:pt>
              </c:numCache>
            </c:numRef>
          </c:val>
          <c:smooth val="0"/>
          <c:extLst>
            <c:ext xmlns:c16="http://schemas.microsoft.com/office/drawing/2014/chart" uri="{C3380CC4-5D6E-409C-BE32-E72D297353CC}">
              <c16:uniqueId val="{00000009-5839-4C37-814E-3D978D28252F}"/>
            </c:ext>
          </c:extLst>
        </c:ser>
        <c:ser>
          <c:idx val="5"/>
          <c:order val="5"/>
          <c:tx>
            <c:strRef>
              <c:f>'PT Avg'!$G$105:$G$106</c:f>
              <c:strCache>
                <c:ptCount val="1"/>
                <c:pt idx="0">
                  <c:v>YouTube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'PT Avg'!$A$107:$A$111</c:f>
              <c:strCache>
                <c:ptCount val="4"/>
                <c:pt idx="0">
                  <c:v>Youth (16–24)</c:v>
                </c:pt>
                <c:pt idx="1">
                  <c:v>Young Adults (25–34)</c:v>
                </c:pt>
                <c:pt idx="2">
                  <c:v>Adults (35–44)</c:v>
                </c:pt>
                <c:pt idx="3">
                  <c:v>Middle-aged (45–54)</c:v>
                </c:pt>
              </c:strCache>
            </c:strRef>
          </c:cat>
          <c:val>
            <c:numRef>
              <c:f>'PT Avg'!$G$107:$G$111</c:f>
              <c:numCache>
                <c:formatCode>0.00%</c:formatCode>
                <c:ptCount val="4"/>
                <c:pt idx="0">
                  <c:v>4.6121593291404611E-2</c:v>
                </c:pt>
                <c:pt idx="1">
                  <c:v>3.1446540880503145E-2</c:v>
                </c:pt>
                <c:pt idx="2">
                  <c:v>4.40251572327044E-2</c:v>
                </c:pt>
                <c:pt idx="3">
                  <c:v>2.3060796645702306E-2</c:v>
                </c:pt>
              </c:numCache>
            </c:numRef>
          </c:val>
          <c:smooth val="0"/>
          <c:extLst>
            <c:ext xmlns:c16="http://schemas.microsoft.com/office/drawing/2014/chart" uri="{C3380CC4-5D6E-409C-BE32-E72D297353CC}">
              <c16:uniqueId val="{0000000A-5839-4C37-814E-3D978D28252F}"/>
            </c:ext>
          </c:extLst>
        </c:ser>
        <c:dLbls>
          <c:showLegendKey val="0"/>
          <c:showVal val="0"/>
          <c:showCatName val="0"/>
          <c:showSerName val="0"/>
          <c:showPercent val="0"/>
          <c:showBubbleSize val="0"/>
        </c:dLbls>
        <c:marker val="1"/>
        <c:smooth val="0"/>
        <c:axId val="1828034639"/>
        <c:axId val="1828035119"/>
      </c:lineChart>
      <c:catAx>
        <c:axId val="1828034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35119"/>
        <c:crosses val="autoZero"/>
        <c:auto val="1"/>
        <c:lblAlgn val="ctr"/>
        <c:lblOffset val="100"/>
        <c:noMultiLvlLbl val="0"/>
      </c:catAx>
      <c:valAx>
        <c:axId val="1828035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3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Correlations!PivotTable16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Correlations'!$B$19:$B$20</c:f>
              <c:strCache>
                <c:ptCount val="1"/>
                <c:pt idx="0">
                  <c:v>Female</c:v>
                </c:pt>
              </c:strCache>
            </c:strRef>
          </c:tx>
          <c:spPr>
            <a:solidFill>
              <a:schemeClr val="accent1"/>
            </a:solidFill>
            <a:ln>
              <a:noFill/>
            </a:ln>
            <a:effectLst/>
          </c:spPr>
          <c:invertIfNegative val="0"/>
          <c:cat>
            <c:strRef>
              <c:f>'PT Correlations'!$A$21:$A$25</c:f>
              <c:strCache>
                <c:ptCount val="4"/>
                <c:pt idx="0">
                  <c:v>Youth (16–24)</c:v>
                </c:pt>
                <c:pt idx="1">
                  <c:v>Young Adults (25–34)</c:v>
                </c:pt>
                <c:pt idx="2">
                  <c:v>Adults (35–44)</c:v>
                </c:pt>
                <c:pt idx="3">
                  <c:v>Middle-aged (45–54)</c:v>
                </c:pt>
              </c:strCache>
            </c:strRef>
          </c:cat>
          <c:val>
            <c:numRef>
              <c:f>'PT Correlations'!$B$21:$B$25</c:f>
              <c:numCache>
                <c:formatCode>General</c:formatCode>
                <c:ptCount val="4"/>
                <c:pt idx="0">
                  <c:v>55</c:v>
                </c:pt>
                <c:pt idx="1">
                  <c:v>56</c:v>
                </c:pt>
                <c:pt idx="2">
                  <c:v>83</c:v>
                </c:pt>
                <c:pt idx="3">
                  <c:v>35</c:v>
                </c:pt>
              </c:numCache>
            </c:numRef>
          </c:val>
          <c:extLst>
            <c:ext xmlns:c16="http://schemas.microsoft.com/office/drawing/2014/chart" uri="{C3380CC4-5D6E-409C-BE32-E72D297353CC}">
              <c16:uniqueId val="{00000000-4874-4522-AFDC-8C5EDC7AD84A}"/>
            </c:ext>
          </c:extLst>
        </c:ser>
        <c:ser>
          <c:idx val="1"/>
          <c:order val="1"/>
          <c:tx>
            <c:strRef>
              <c:f>'PT Correlations'!$C$19:$C$20</c:f>
              <c:strCache>
                <c:ptCount val="1"/>
                <c:pt idx="0">
                  <c:v>Male</c:v>
                </c:pt>
              </c:strCache>
            </c:strRef>
          </c:tx>
          <c:spPr>
            <a:solidFill>
              <a:schemeClr val="accent2"/>
            </a:solidFill>
            <a:ln>
              <a:noFill/>
            </a:ln>
            <a:effectLst/>
          </c:spPr>
          <c:invertIfNegative val="0"/>
          <c:cat>
            <c:strRef>
              <c:f>'PT Correlations'!$A$21:$A$25</c:f>
              <c:strCache>
                <c:ptCount val="4"/>
                <c:pt idx="0">
                  <c:v>Youth (16–24)</c:v>
                </c:pt>
                <c:pt idx="1">
                  <c:v>Young Adults (25–34)</c:v>
                </c:pt>
                <c:pt idx="2">
                  <c:v>Adults (35–44)</c:v>
                </c:pt>
                <c:pt idx="3">
                  <c:v>Middle-aged (45–54)</c:v>
                </c:pt>
              </c:strCache>
            </c:strRef>
          </c:cat>
          <c:val>
            <c:numRef>
              <c:f>'PT Correlations'!$C$21:$C$25</c:f>
              <c:numCache>
                <c:formatCode>General</c:formatCode>
                <c:ptCount val="4"/>
                <c:pt idx="0">
                  <c:v>67</c:v>
                </c:pt>
                <c:pt idx="1">
                  <c:v>69</c:v>
                </c:pt>
                <c:pt idx="2">
                  <c:v>75</c:v>
                </c:pt>
                <c:pt idx="3">
                  <c:v>37</c:v>
                </c:pt>
              </c:numCache>
            </c:numRef>
          </c:val>
          <c:extLst>
            <c:ext xmlns:c16="http://schemas.microsoft.com/office/drawing/2014/chart" uri="{C3380CC4-5D6E-409C-BE32-E72D297353CC}">
              <c16:uniqueId val="{00000001-4874-4522-AFDC-8C5EDC7AD84A}"/>
            </c:ext>
          </c:extLst>
        </c:ser>
        <c:dLbls>
          <c:showLegendKey val="0"/>
          <c:showVal val="0"/>
          <c:showCatName val="0"/>
          <c:showSerName val="0"/>
          <c:showPercent val="0"/>
          <c:showBubbleSize val="0"/>
        </c:dLbls>
        <c:gapWidth val="219"/>
        <c:overlap val="-27"/>
        <c:axId val="890333424"/>
        <c:axId val="890327664"/>
      </c:barChart>
      <c:catAx>
        <c:axId val="890333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27664"/>
        <c:crosses val="autoZero"/>
        <c:auto val="1"/>
        <c:lblAlgn val="ctr"/>
        <c:lblOffset val="100"/>
        <c:noMultiLvlLbl val="0"/>
      </c:catAx>
      <c:valAx>
        <c:axId val="890327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3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Correlations!PivotTable17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Correlations'!$B$38:$B$39</c:f>
              <c:strCache>
                <c:ptCount val="1"/>
                <c:pt idx="0">
                  <c:v>Female</c:v>
                </c:pt>
              </c:strCache>
            </c:strRef>
          </c:tx>
          <c:spPr>
            <a:solidFill>
              <a:schemeClr val="accent1"/>
            </a:solidFill>
            <a:ln>
              <a:noFill/>
            </a:ln>
            <a:effectLst/>
          </c:spPr>
          <c:invertIfNegative val="0"/>
          <c:cat>
            <c:strRef>
              <c:f>'PT Correlations'!$A$40:$A$44</c:f>
              <c:strCache>
                <c:ptCount val="4"/>
                <c:pt idx="0">
                  <c:v>Low (0–3 hrs)</c:v>
                </c:pt>
                <c:pt idx="1">
                  <c:v>Moderate (3–6 hrs)</c:v>
                </c:pt>
                <c:pt idx="2">
                  <c:v>High (6–8 hrs)</c:v>
                </c:pt>
                <c:pt idx="3">
                  <c:v>Very High (8+ hrs)</c:v>
                </c:pt>
              </c:strCache>
            </c:strRef>
          </c:cat>
          <c:val>
            <c:numRef>
              <c:f>'PT Correlations'!$B$40:$B$44</c:f>
              <c:numCache>
                <c:formatCode>0.00%</c:formatCode>
                <c:ptCount val="4"/>
                <c:pt idx="0">
                  <c:v>3.7735849056603772E-2</c:v>
                </c:pt>
                <c:pt idx="1">
                  <c:v>0.24528301886792453</c:v>
                </c:pt>
                <c:pt idx="2">
                  <c:v>0.15932914046121593</c:v>
                </c:pt>
                <c:pt idx="3">
                  <c:v>3.7735849056603772E-2</c:v>
                </c:pt>
              </c:numCache>
            </c:numRef>
          </c:val>
          <c:extLst>
            <c:ext xmlns:c16="http://schemas.microsoft.com/office/drawing/2014/chart" uri="{C3380CC4-5D6E-409C-BE32-E72D297353CC}">
              <c16:uniqueId val="{00000000-229E-4213-9383-62E3E0F3CFC4}"/>
            </c:ext>
          </c:extLst>
        </c:ser>
        <c:ser>
          <c:idx val="1"/>
          <c:order val="1"/>
          <c:tx>
            <c:strRef>
              <c:f>'PT Correlations'!$C$38:$C$39</c:f>
              <c:strCache>
                <c:ptCount val="1"/>
                <c:pt idx="0">
                  <c:v>Male</c:v>
                </c:pt>
              </c:strCache>
            </c:strRef>
          </c:tx>
          <c:spPr>
            <a:solidFill>
              <a:schemeClr val="accent2"/>
            </a:solidFill>
            <a:ln>
              <a:noFill/>
            </a:ln>
            <a:effectLst/>
          </c:spPr>
          <c:invertIfNegative val="0"/>
          <c:cat>
            <c:strRef>
              <c:f>'PT Correlations'!$A$40:$A$44</c:f>
              <c:strCache>
                <c:ptCount val="4"/>
                <c:pt idx="0">
                  <c:v>Low (0–3 hrs)</c:v>
                </c:pt>
                <c:pt idx="1">
                  <c:v>Moderate (3–6 hrs)</c:v>
                </c:pt>
                <c:pt idx="2">
                  <c:v>High (6–8 hrs)</c:v>
                </c:pt>
                <c:pt idx="3">
                  <c:v>Very High (8+ hrs)</c:v>
                </c:pt>
              </c:strCache>
            </c:strRef>
          </c:cat>
          <c:val>
            <c:numRef>
              <c:f>'PT Correlations'!$C$40:$C$44</c:f>
              <c:numCache>
                <c:formatCode>0.00%</c:formatCode>
                <c:ptCount val="4"/>
                <c:pt idx="0">
                  <c:v>3.5639412997903561E-2</c:v>
                </c:pt>
                <c:pt idx="1">
                  <c:v>0.24737945492662475</c:v>
                </c:pt>
                <c:pt idx="2">
                  <c:v>0.20335429769392033</c:v>
                </c:pt>
                <c:pt idx="3">
                  <c:v>3.3542976939203356E-2</c:v>
                </c:pt>
              </c:numCache>
            </c:numRef>
          </c:val>
          <c:extLst>
            <c:ext xmlns:c16="http://schemas.microsoft.com/office/drawing/2014/chart" uri="{C3380CC4-5D6E-409C-BE32-E72D297353CC}">
              <c16:uniqueId val="{00000001-229E-4213-9383-62E3E0F3CFC4}"/>
            </c:ext>
          </c:extLst>
        </c:ser>
        <c:dLbls>
          <c:showLegendKey val="0"/>
          <c:showVal val="0"/>
          <c:showCatName val="0"/>
          <c:showSerName val="0"/>
          <c:showPercent val="0"/>
          <c:showBubbleSize val="0"/>
        </c:dLbls>
        <c:gapWidth val="219"/>
        <c:overlap val="-27"/>
        <c:axId val="890353104"/>
        <c:axId val="890343984"/>
      </c:barChart>
      <c:catAx>
        <c:axId val="89035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43984"/>
        <c:crosses val="autoZero"/>
        <c:auto val="1"/>
        <c:lblAlgn val="ctr"/>
        <c:lblOffset val="100"/>
        <c:noMultiLvlLbl val="0"/>
      </c:catAx>
      <c:valAx>
        <c:axId val="8903439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5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Correlations!PivotTable11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 Correlations'!$B$3:$B$4</c:f>
              <c:strCache>
                <c:ptCount val="1"/>
                <c:pt idx="0">
                  <c:v>Youth (16–24)</c:v>
                </c:pt>
              </c:strCache>
            </c:strRef>
          </c:tx>
          <c:spPr>
            <a:solidFill>
              <a:schemeClr val="accent1"/>
            </a:solidFill>
            <a:ln>
              <a:noFill/>
            </a:ln>
            <a:effectLst/>
          </c:spPr>
          <c:invertIfNegative val="0"/>
          <c:cat>
            <c:strRef>
              <c:f>'PT Correlations'!$A$5:$A$7</c:f>
              <c:strCache>
                <c:ptCount val="2"/>
                <c:pt idx="0">
                  <c:v>Female</c:v>
                </c:pt>
                <c:pt idx="1">
                  <c:v>Male</c:v>
                </c:pt>
              </c:strCache>
            </c:strRef>
          </c:cat>
          <c:val>
            <c:numRef>
              <c:f>'PT Correlations'!$B$5:$B$7</c:f>
              <c:numCache>
                <c:formatCode>General</c:formatCode>
                <c:ptCount val="2"/>
                <c:pt idx="0">
                  <c:v>55</c:v>
                </c:pt>
                <c:pt idx="1">
                  <c:v>67</c:v>
                </c:pt>
              </c:numCache>
            </c:numRef>
          </c:val>
          <c:extLst>
            <c:ext xmlns:c16="http://schemas.microsoft.com/office/drawing/2014/chart" uri="{C3380CC4-5D6E-409C-BE32-E72D297353CC}">
              <c16:uniqueId val="{00000000-EACE-4C08-A411-A8DF38B5B4AC}"/>
            </c:ext>
          </c:extLst>
        </c:ser>
        <c:ser>
          <c:idx val="1"/>
          <c:order val="1"/>
          <c:tx>
            <c:strRef>
              <c:f>'PT Correlations'!$C$3:$C$4</c:f>
              <c:strCache>
                <c:ptCount val="1"/>
                <c:pt idx="0">
                  <c:v>Young Adults (25–34)</c:v>
                </c:pt>
              </c:strCache>
            </c:strRef>
          </c:tx>
          <c:spPr>
            <a:solidFill>
              <a:schemeClr val="accent2"/>
            </a:solidFill>
            <a:ln>
              <a:noFill/>
            </a:ln>
            <a:effectLst/>
          </c:spPr>
          <c:invertIfNegative val="0"/>
          <c:cat>
            <c:strRef>
              <c:f>'PT Correlations'!$A$5:$A$7</c:f>
              <c:strCache>
                <c:ptCount val="2"/>
                <c:pt idx="0">
                  <c:v>Female</c:v>
                </c:pt>
                <c:pt idx="1">
                  <c:v>Male</c:v>
                </c:pt>
              </c:strCache>
            </c:strRef>
          </c:cat>
          <c:val>
            <c:numRef>
              <c:f>'PT Correlations'!$C$5:$C$7</c:f>
              <c:numCache>
                <c:formatCode>General</c:formatCode>
                <c:ptCount val="2"/>
                <c:pt idx="0">
                  <c:v>56</c:v>
                </c:pt>
                <c:pt idx="1">
                  <c:v>69</c:v>
                </c:pt>
              </c:numCache>
            </c:numRef>
          </c:val>
          <c:extLst>
            <c:ext xmlns:c16="http://schemas.microsoft.com/office/drawing/2014/chart" uri="{C3380CC4-5D6E-409C-BE32-E72D297353CC}">
              <c16:uniqueId val="{00000001-EACE-4C08-A411-A8DF38B5B4AC}"/>
            </c:ext>
          </c:extLst>
        </c:ser>
        <c:ser>
          <c:idx val="2"/>
          <c:order val="2"/>
          <c:tx>
            <c:strRef>
              <c:f>'PT Correlations'!$D$3:$D$4</c:f>
              <c:strCache>
                <c:ptCount val="1"/>
                <c:pt idx="0">
                  <c:v>Adults (35–44)</c:v>
                </c:pt>
              </c:strCache>
            </c:strRef>
          </c:tx>
          <c:spPr>
            <a:solidFill>
              <a:schemeClr val="accent3"/>
            </a:solidFill>
            <a:ln>
              <a:noFill/>
            </a:ln>
            <a:effectLst/>
          </c:spPr>
          <c:invertIfNegative val="0"/>
          <c:cat>
            <c:strRef>
              <c:f>'PT Correlations'!$A$5:$A$7</c:f>
              <c:strCache>
                <c:ptCount val="2"/>
                <c:pt idx="0">
                  <c:v>Female</c:v>
                </c:pt>
                <c:pt idx="1">
                  <c:v>Male</c:v>
                </c:pt>
              </c:strCache>
            </c:strRef>
          </c:cat>
          <c:val>
            <c:numRef>
              <c:f>'PT Correlations'!$D$5:$D$7</c:f>
              <c:numCache>
                <c:formatCode>General</c:formatCode>
                <c:ptCount val="2"/>
                <c:pt idx="0">
                  <c:v>83</c:v>
                </c:pt>
                <c:pt idx="1">
                  <c:v>75</c:v>
                </c:pt>
              </c:numCache>
            </c:numRef>
          </c:val>
          <c:extLst>
            <c:ext xmlns:c16="http://schemas.microsoft.com/office/drawing/2014/chart" uri="{C3380CC4-5D6E-409C-BE32-E72D297353CC}">
              <c16:uniqueId val="{00000002-EACE-4C08-A411-A8DF38B5B4AC}"/>
            </c:ext>
          </c:extLst>
        </c:ser>
        <c:ser>
          <c:idx val="3"/>
          <c:order val="3"/>
          <c:tx>
            <c:strRef>
              <c:f>'PT Correlations'!$E$3:$E$4</c:f>
              <c:strCache>
                <c:ptCount val="1"/>
                <c:pt idx="0">
                  <c:v>Middle-aged (45–54)</c:v>
                </c:pt>
              </c:strCache>
            </c:strRef>
          </c:tx>
          <c:spPr>
            <a:solidFill>
              <a:schemeClr val="accent4"/>
            </a:solidFill>
            <a:ln>
              <a:noFill/>
            </a:ln>
            <a:effectLst/>
          </c:spPr>
          <c:invertIfNegative val="0"/>
          <c:cat>
            <c:strRef>
              <c:f>'PT Correlations'!$A$5:$A$7</c:f>
              <c:strCache>
                <c:ptCount val="2"/>
                <c:pt idx="0">
                  <c:v>Female</c:v>
                </c:pt>
                <c:pt idx="1">
                  <c:v>Male</c:v>
                </c:pt>
              </c:strCache>
            </c:strRef>
          </c:cat>
          <c:val>
            <c:numRef>
              <c:f>'PT Correlations'!$E$5:$E$7</c:f>
              <c:numCache>
                <c:formatCode>General</c:formatCode>
                <c:ptCount val="2"/>
                <c:pt idx="0">
                  <c:v>35</c:v>
                </c:pt>
                <c:pt idx="1">
                  <c:v>37</c:v>
                </c:pt>
              </c:numCache>
            </c:numRef>
          </c:val>
          <c:extLst>
            <c:ext xmlns:c16="http://schemas.microsoft.com/office/drawing/2014/chart" uri="{C3380CC4-5D6E-409C-BE32-E72D297353CC}">
              <c16:uniqueId val="{00000003-EACE-4C08-A411-A8DF38B5B4AC}"/>
            </c:ext>
          </c:extLst>
        </c:ser>
        <c:dLbls>
          <c:showLegendKey val="0"/>
          <c:showVal val="0"/>
          <c:showCatName val="0"/>
          <c:showSerName val="0"/>
          <c:showPercent val="0"/>
          <c:showBubbleSize val="0"/>
        </c:dLbls>
        <c:gapWidth val="219"/>
        <c:overlap val="-27"/>
        <c:axId val="890353584"/>
        <c:axId val="890354064"/>
      </c:barChart>
      <c:catAx>
        <c:axId val="89035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54064"/>
        <c:crosses val="autoZero"/>
        <c:auto val="1"/>
        <c:lblAlgn val="ctr"/>
        <c:lblOffset val="100"/>
        <c:noMultiLvlLbl val="0"/>
      </c:catAx>
      <c:valAx>
        <c:axId val="89035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035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Correlations!pvtAvgUse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Min</a:t>
            </a:r>
            <a:r>
              <a:rPr lang="en-US" b="1" baseline="0"/>
              <a:t> of Daily Usage in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Correlations'!$B$57</c:f>
              <c:strCache>
                <c:ptCount val="1"/>
                <c:pt idx="0">
                  <c:v>Total</c:v>
                </c:pt>
              </c:strCache>
            </c:strRef>
          </c:tx>
          <c:spPr>
            <a:solidFill>
              <a:schemeClr val="accent1"/>
            </a:solidFill>
            <a:ln>
              <a:noFill/>
            </a:ln>
            <a:effectLst/>
          </c:spPr>
          <c:invertIfNegative val="0"/>
          <c:cat>
            <c:strRef>
              <c:f>'PT Correlations'!$A$58:$A$64</c:f>
              <c:strCache>
                <c:ptCount val="6"/>
                <c:pt idx="0">
                  <c:v>LinkedIn</c:v>
                </c:pt>
                <c:pt idx="1">
                  <c:v>X (Twitter)</c:v>
                </c:pt>
                <c:pt idx="2">
                  <c:v>TikTok</c:v>
                </c:pt>
                <c:pt idx="3">
                  <c:v>YouTube</c:v>
                </c:pt>
                <c:pt idx="4">
                  <c:v>Facebook</c:v>
                </c:pt>
                <c:pt idx="5">
                  <c:v>Instagram</c:v>
                </c:pt>
              </c:strCache>
            </c:strRef>
          </c:cat>
          <c:val>
            <c:numRef>
              <c:f>'PT Correlations'!$B$58:$B$64</c:f>
              <c:numCache>
                <c:formatCode>0.0</c:formatCode>
                <c:ptCount val="6"/>
                <c:pt idx="0">
                  <c:v>5.2734939759036141</c:v>
                </c:pt>
                <c:pt idx="1">
                  <c:v>5.418292682926829</c:v>
                </c:pt>
                <c:pt idx="2">
                  <c:v>5.436956521739134</c:v>
                </c:pt>
                <c:pt idx="3">
                  <c:v>5.536231884057969</c:v>
                </c:pt>
                <c:pt idx="4">
                  <c:v>5.6712500000000023</c:v>
                </c:pt>
                <c:pt idx="5">
                  <c:v>6.0647887323943639</c:v>
                </c:pt>
              </c:numCache>
            </c:numRef>
          </c:val>
          <c:extLst>
            <c:ext xmlns:c16="http://schemas.microsoft.com/office/drawing/2014/chart" uri="{C3380CC4-5D6E-409C-BE32-E72D297353CC}">
              <c16:uniqueId val="{00000000-3BA3-40C0-B16D-6FDA3422F8F9}"/>
            </c:ext>
          </c:extLst>
        </c:ser>
        <c:dLbls>
          <c:showLegendKey val="0"/>
          <c:showVal val="0"/>
          <c:showCatName val="0"/>
          <c:showSerName val="0"/>
          <c:showPercent val="0"/>
          <c:showBubbleSize val="0"/>
        </c:dLbls>
        <c:gapWidth val="182"/>
        <c:axId val="930172384"/>
        <c:axId val="930178624"/>
      </c:barChart>
      <c:catAx>
        <c:axId val="930172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78624"/>
        <c:crosses val="autoZero"/>
        <c:auto val="1"/>
        <c:lblAlgn val="ctr"/>
        <c:lblOffset val="100"/>
        <c:noMultiLvlLbl val="0"/>
      </c:catAx>
      <c:valAx>
        <c:axId val="930178624"/>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7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Correlations!pvtScreenGroups</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'PT Correlations'!$C$74</c:f>
              <c:strCache>
                <c:ptCount val="1"/>
                <c:pt idx="0">
                  <c:v>Average of Happiness (1-10)</c:v>
                </c:pt>
              </c:strCache>
            </c:strRef>
          </c:tx>
          <c:spPr>
            <a:solidFill>
              <a:schemeClr val="accent2"/>
            </a:solidFill>
            <a:ln>
              <a:noFill/>
            </a:ln>
            <a:effectLst/>
          </c:spPr>
          <c:invertIfNegative val="0"/>
          <c:cat>
            <c:strRef>
              <c:f>'PT Correlations'!$A$75:$A$78</c:f>
              <c:strCache>
                <c:ptCount val="4"/>
                <c:pt idx="0">
                  <c:v>Low (0–3 hrs)</c:v>
                </c:pt>
                <c:pt idx="1">
                  <c:v>Moderate (3–6 hrs)</c:v>
                </c:pt>
                <c:pt idx="2">
                  <c:v>High (6–8 hrs)</c:v>
                </c:pt>
                <c:pt idx="3">
                  <c:v>Very High (8+ hrs)</c:v>
                </c:pt>
              </c:strCache>
            </c:strRef>
          </c:cat>
          <c:val>
            <c:numRef>
              <c:f>'PT Correlations'!$C$75:$C$78</c:f>
              <c:numCache>
                <c:formatCode>0</c:formatCode>
                <c:ptCount val="4"/>
                <c:pt idx="0">
                  <c:v>9.8000000000000007</c:v>
                </c:pt>
                <c:pt idx="1">
                  <c:v>9.0978723404255319</c:v>
                </c:pt>
                <c:pt idx="2">
                  <c:v>7.497109826589595</c:v>
                </c:pt>
                <c:pt idx="3">
                  <c:v>6.117647058823529</c:v>
                </c:pt>
              </c:numCache>
            </c:numRef>
          </c:val>
          <c:extLst>
            <c:ext xmlns:c16="http://schemas.microsoft.com/office/drawing/2014/chart" uri="{C3380CC4-5D6E-409C-BE32-E72D297353CC}">
              <c16:uniqueId val="{00000001-1048-4B5D-B555-88A28C63B00F}"/>
            </c:ext>
          </c:extLst>
        </c:ser>
        <c:ser>
          <c:idx val="2"/>
          <c:order val="2"/>
          <c:tx>
            <c:strRef>
              <c:f>'PT Correlations'!$D$74</c:f>
              <c:strCache>
                <c:ptCount val="1"/>
                <c:pt idx="0">
                  <c:v>Average of Sleep Quality (1-10)</c:v>
                </c:pt>
              </c:strCache>
            </c:strRef>
          </c:tx>
          <c:spPr>
            <a:solidFill>
              <a:schemeClr val="accent3"/>
            </a:solidFill>
            <a:ln>
              <a:noFill/>
            </a:ln>
            <a:effectLst/>
          </c:spPr>
          <c:invertIfNegative val="0"/>
          <c:cat>
            <c:strRef>
              <c:f>'PT Correlations'!$A$75:$A$78</c:f>
              <c:strCache>
                <c:ptCount val="4"/>
                <c:pt idx="0">
                  <c:v>Low (0–3 hrs)</c:v>
                </c:pt>
                <c:pt idx="1">
                  <c:v>Moderate (3–6 hrs)</c:v>
                </c:pt>
                <c:pt idx="2">
                  <c:v>High (6–8 hrs)</c:v>
                </c:pt>
                <c:pt idx="3">
                  <c:v>Very High (8+ hrs)</c:v>
                </c:pt>
              </c:strCache>
            </c:strRef>
          </c:cat>
          <c:val>
            <c:numRef>
              <c:f>'PT Correlations'!$D$75:$D$78</c:f>
              <c:numCache>
                <c:formatCode>0</c:formatCode>
                <c:ptCount val="4"/>
                <c:pt idx="0">
                  <c:v>8.4285714285714288</c:v>
                </c:pt>
                <c:pt idx="1">
                  <c:v>6.9148936170212769</c:v>
                </c:pt>
                <c:pt idx="2">
                  <c:v>5.4161849710982661</c:v>
                </c:pt>
                <c:pt idx="3">
                  <c:v>4.1764705882352944</c:v>
                </c:pt>
              </c:numCache>
            </c:numRef>
          </c:val>
          <c:extLst>
            <c:ext xmlns:c16="http://schemas.microsoft.com/office/drawing/2014/chart" uri="{C3380CC4-5D6E-409C-BE32-E72D297353CC}">
              <c16:uniqueId val="{00000003-1048-4B5D-B555-88A28C63B00F}"/>
            </c:ext>
          </c:extLst>
        </c:ser>
        <c:dLbls>
          <c:showLegendKey val="0"/>
          <c:showVal val="0"/>
          <c:showCatName val="0"/>
          <c:showSerName val="0"/>
          <c:showPercent val="0"/>
          <c:showBubbleSize val="0"/>
        </c:dLbls>
        <c:gapWidth val="219"/>
        <c:axId val="290189104"/>
        <c:axId val="290188144"/>
      </c:barChart>
      <c:lineChart>
        <c:grouping val="standard"/>
        <c:varyColors val="0"/>
        <c:ser>
          <c:idx val="0"/>
          <c:order val="0"/>
          <c:tx>
            <c:strRef>
              <c:f>'PT Correlations'!$B$74</c:f>
              <c:strCache>
                <c:ptCount val="1"/>
                <c:pt idx="0">
                  <c:v>Average of Stress Level (1-10)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 Correlations'!$A$75:$A$78</c:f>
              <c:strCache>
                <c:ptCount val="4"/>
                <c:pt idx="0">
                  <c:v>Low (0–3 hrs)</c:v>
                </c:pt>
                <c:pt idx="1">
                  <c:v>Moderate (3–6 hrs)</c:v>
                </c:pt>
                <c:pt idx="2">
                  <c:v>High (6–8 hrs)</c:v>
                </c:pt>
                <c:pt idx="3">
                  <c:v>Very High (8+ hrs)</c:v>
                </c:pt>
              </c:strCache>
            </c:strRef>
          </c:cat>
          <c:val>
            <c:numRef>
              <c:f>'PT Correlations'!$B$75:$B$78</c:f>
              <c:numCache>
                <c:formatCode>0</c:formatCode>
                <c:ptCount val="4"/>
                <c:pt idx="0">
                  <c:v>4.4000000000000004</c:v>
                </c:pt>
                <c:pt idx="1">
                  <c:v>5.9829787234042557</c:v>
                </c:pt>
                <c:pt idx="2">
                  <c:v>7.5144508670520231</c:v>
                </c:pt>
                <c:pt idx="3">
                  <c:v>8.735294117647058</c:v>
                </c:pt>
              </c:numCache>
            </c:numRef>
          </c:val>
          <c:smooth val="0"/>
          <c:extLst>
            <c:ext xmlns:c16="http://schemas.microsoft.com/office/drawing/2014/chart" uri="{C3380CC4-5D6E-409C-BE32-E72D297353CC}">
              <c16:uniqueId val="{00000000-1048-4B5D-B555-88A28C63B00F}"/>
            </c:ext>
          </c:extLst>
        </c:ser>
        <c:dLbls>
          <c:showLegendKey val="0"/>
          <c:showVal val="0"/>
          <c:showCatName val="0"/>
          <c:showSerName val="0"/>
          <c:showPercent val="0"/>
          <c:showBubbleSize val="0"/>
        </c:dLbls>
        <c:marker val="1"/>
        <c:smooth val="0"/>
        <c:axId val="290189104"/>
        <c:axId val="290188144"/>
      </c:lineChart>
      <c:catAx>
        <c:axId val="29018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88144"/>
        <c:crosses val="autoZero"/>
        <c:auto val="1"/>
        <c:lblAlgn val="ctr"/>
        <c:lblOffset val="100"/>
        <c:noMultiLvlLbl val="0"/>
      </c:catAx>
      <c:valAx>
        <c:axId val="290188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Exercise Frequency!PivotTable1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Exercise Frequency'!$B$3:$B$4</c:f>
              <c:strCache>
                <c:ptCount val="1"/>
                <c:pt idx="0">
                  <c:v>Advanced (5–7 days)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Exercise Frequency'!$A$5:$A$11</c:f>
              <c:strCache>
                <c:ptCount val="6"/>
                <c:pt idx="0">
                  <c:v>YouTube</c:v>
                </c:pt>
                <c:pt idx="1">
                  <c:v>Instagram</c:v>
                </c:pt>
                <c:pt idx="2">
                  <c:v>Facebook</c:v>
                </c:pt>
                <c:pt idx="3">
                  <c:v>X (Twitter)</c:v>
                </c:pt>
                <c:pt idx="4">
                  <c:v>LinkedIn</c:v>
                </c:pt>
                <c:pt idx="5">
                  <c:v>TikTok</c:v>
                </c:pt>
              </c:strCache>
            </c:strRef>
          </c:cat>
          <c:val>
            <c:numRef>
              <c:f>'PT Exercise Frequency'!$B$5:$B$11</c:f>
              <c:numCache>
                <c:formatCode>0.00%</c:formatCode>
                <c:ptCount val="6"/>
                <c:pt idx="0">
                  <c:v>1.6771488469601678E-2</c:v>
                </c:pt>
                <c:pt idx="1">
                  <c:v>1.2578616352201259E-2</c:v>
                </c:pt>
                <c:pt idx="2">
                  <c:v>1.0482180293501049E-2</c:v>
                </c:pt>
                <c:pt idx="3">
                  <c:v>8.385744234800839E-3</c:v>
                </c:pt>
                <c:pt idx="4">
                  <c:v>1.4675052410901468E-2</c:v>
                </c:pt>
                <c:pt idx="5">
                  <c:v>1.8867924528301886E-2</c:v>
                </c:pt>
              </c:numCache>
            </c:numRef>
          </c:val>
          <c:extLst>
            <c:ext xmlns:c16="http://schemas.microsoft.com/office/drawing/2014/chart" uri="{C3380CC4-5D6E-409C-BE32-E72D297353CC}">
              <c16:uniqueId val="{00000000-D31E-44B7-9036-33A536288950}"/>
            </c:ext>
          </c:extLst>
        </c:ser>
        <c:ser>
          <c:idx val="1"/>
          <c:order val="1"/>
          <c:tx>
            <c:strRef>
              <c:f>'PT Exercise Frequency'!$C$3:$C$4</c:f>
              <c:strCache>
                <c:ptCount val="1"/>
                <c:pt idx="0">
                  <c:v>Intermediate (3–4 days)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Exercise Frequency'!$A$5:$A$11</c:f>
              <c:strCache>
                <c:ptCount val="6"/>
                <c:pt idx="0">
                  <c:v>YouTube</c:v>
                </c:pt>
                <c:pt idx="1">
                  <c:v>Instagram</c:v>
                </c:pt>
                <c:pt idx="2">
                  <c:v>Facebook</c:v>
                </c:pt>
                <c:pt idx="3">
                  <c:v>X (Twitter)</c:v>
                </c:pt>
                <c:pt idx="4">
                  <c:v>LinkedIn</c:v>
                </c:pt>
                <c:pt idx="5">
                  <c:v>TikTok</c:v>
                </c:pt>
              </c:strCache>
            </c:strRef>
          </c:cat>
          <c:val>
            <c:numRef>
              <c:f>'PT Exercise Frequency'!$C$5:$C$11</c:f>
              <c:numCache>
                <c:formatCode>0.00%</c:formatCode>
                <c:ptCount val="6"/>
                <c:pt idx="0">
                  <c:v>6.2893081761006289E-2</c:v>
                </c:pt>
                <c:pt idx="1">
                  <c:v>6.0796645702306078E-2</c:v>
                </c:pt>
                <c:pt idx="2">
                  <c:v>5.2410901467505239E-2</c:v>
                </c:pt>
                <c:pt idx="3">
                  <c:v>5.0314465408805034E-2</c:v>
                </c:pt>
                <c:pt idx="4">
                  <c:v>7.1278825995807121E-2</c:v>
                </c:pt>
                <c:pt idx="5">
                  <c:v>9.0146750524109018E-2</c:v>
                </c:pt>
              </c:numCache>
            </c:numRef>
          </c:val>
          <c:extLst>
            <c:ext xmlns:c16="http://schemas.microsoft.com/office/drawing/2014/chart" uri="{C3380CC4-5D6E-409C-BE32-E72D297353CC}">
              <c16:uniqueId val="{00000002-9968-44DA-9F0D-9F3EDDC6F063}"/>
            </c:ext>
          </c:extLst>
        </c:ser>
        <c:ser>
          <c:idx val="2"/>
          <c:order val="2"/>
          <c:tx>
            <c:strRef>
              <c:f>'PT Exercise Frequency'!$D$3:$D$4</c:f>
              <c:strCache>
                <c:ptCount val="1"/>
                <c:pt idx="0">
                  <c:v>Beginners (0–2 days)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Exercise Frequency'!$A$5:$A$11</c:f>
              <c:strCache>
                <c:ptCount val="6"/>
                <c:pt idx="0">
                  <c:v>YouTube</c:v>
                </c:pt>
                <c:pt idx="1">
                  <c:v>Instagram</c:v>
                </c:pt>
                <c:pt idx="2">
                  <c:v>Facebook</c:v>
                </c:pt>
                <c:pt idx="3">
                  <c:v>X (Twitter)</c:v>
                </c:pt>
                <c:pt idx="4">
                  <c:v>LinkedIn</c:v>
                </c:pt>
                <c:pt idx="5">
                  <c:v>TikTok</c:v>
                </c:pt>
              </c:strCache>
            </c:strRef>
          </c:cat>
          <c:val>
            <c:numRef>
              <c:f>'PT Exercise Frequency'!$D$5:$D$11</c:f>
              <c:numCache>
                <c:formatCode>0.00%</c:formatCode>
                <c:ptCount val="6"/>
                <c:pt idx="0">
                  <c:v>6.4989517819706494E-2</c:v>
                </c:pt>
                <c:pt idx="1">
                  <c:v>7.5471698113207544E-2</c:v>
                </c:pt>
                <c:pt idx="2">
                  <c:v>0.10482180293501048</c:v>
                </c:pt>
                <c:pt idx="3">
                  <c:v>0.11320754716981132</c:v>
                </c:pt>
                <c:pt idx="4">
                  <c:v>8.8050314465408799E-2</c:v>
                </c:pt>
                <c:pt idx="5">
                  <c:v>8.385744234800839E-2</c:v>
                </c:pt>
              </c:numCache>
            </c:numRef>
          </c:val>
          <c:extLst>
            <c:ext xmlns:c16="http://schemas.microsoft.com/office/drawing/2014/chart" uri="{C3380CC4-5D6E-409C-BE32-E72D297353CC}">
              <c16:uniqueId val="{00000003-9968-44DA-9F0D-9F3EDDC6F063}"/>
            </c:ext>
          </c:extLst>
        </c:ser>
        <c:dLbls>
          <c:dLblPos val="outEnd"/>
          <c:showLegendKey val="0"/>
          <c:showVal val="1"/>
          <c:showCatName val="0"/>
          <c:showSerName val="0"/>
          <c:showPercent val="0"/>
          <c:showBubbleSize val="0"/>
        </c:dLbls>
        <c:gapWidth val="182"/>
        <c:axId val="430975055"/>
        <c:axId val="430958735"/>
      </c:barChart>
      <c:catAx>
        <c:axId val="43097505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58735"/>
        <c:crosses val="autoZero"/>
        <c:auto val="1"/>
        <c:lblAlgn val="ctr"/>
        <c:lblOffset val="100"/>
        <c:noMultiLvlLbl val="0"/>
      </c:catAx>
      <c:valAx>
        <c:axId val="43095873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75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[Mental_Health_and_Social_Media_Balance_Dataset_done.xlsx]PT Exercise Frequency!pvtExercise</c:name>
    <c:fmtId val="2"/>
  </c:pivotSource>
  <c:chart>
    <c:autoTitleDeleted val="0"/>
    <c:pivotFmts>
      <c:pivotFmt>
        <c:idx val="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Exercise Frequency'!$B$30:$B$31</c:f>
              <c:strCache>
                <c:ptCount val="1"/>
                <c:pt idx="0">
                  <c:v>Beginners (0–2 days)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 Exercise Frequency'!$A$32:$A$36</c:f>
              <c:strCache>
                <c:ptCount val="4"/>
                <c:pt idx="0">
                  <c:v>Low (0–3 hrs)</c:v>
                </c:pt>
                <c:pt idx="1">
                  <c:v>Moderate (3–6 hrs)</c:v>
                </c:pt>
                <c:pt idx="2">
                  <c:v>High (6–8 hrs)</c:v>
                </c:pt>
                <c:pt idx="3">
                  <c:v>Very High (8+ hrs)</c:v>
                </c:pt>
              </c:strCache>
            </c:strRef>
          </c:cat>
          <c:val>
            <c:numRef>
              <c:f>'PT Exercise Frequency'!$B$32:$B$36</c:f>
              <c:numCache>
                <c:formatCode>0.00%</c:formatCode>
                <c:ptCount val="4"/>
                <c:pt idx="0">
                  <c:v>2.9350104821802937E-2</c:v>
                </c:pt>
                <c:pt idx="1">
                  <c:v>0.2662473794549266</c:v>
                </c:pt>
                <c:pt idx="2">
                  <c:v>0.19287211740041929</c:v>
                </c:pt>
                <c:pt idx="3">
                  <c:v>4.1928721174004195E-2</c:v>
                </c:pt>
              </c:numCache>
            </c:numRef>
          </c:val>
          <c:smooth val="0"/>
          <c:extLst>
            <c:ext xmlns:c16="http://schemas.microsoft.com/office/drawing/2014/chart" uri="{C3380CC4-5D6E-409C-BE32-E72D297353CC}">
              <c16:uniqueId val="{00000000-1392-4635-815E-2129283DC58B}"/>
            </c:ext>
          </c:extLst>
        </c:ser>
        <c:ser>
          <c:idx val="1"/>
          <c:order val="1"/>
          <c:tx>
            <c:strRef>
              <c:f>'PT Exercise Frequency'!$C$30:$C$31</c:f>
              <c:strCache>
                <c:ptCount val="1"/>
                <c:pt idx="0">
                  <c:v>Intermediate (3–4 days)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'PT Exercise Frequency'!$A$32:$A$36</c:f>
              <c:strCache>
                <c:ptCount val="4"/>
                <c:pt idx="0">
                  <c:v>Low (0–3 hrs)</c:v>
                </c:pt>
                <c:pt idx="1">
                  <c:v>Moderate (3–6 hrs)</c:v>
                </c:pt>
                <c:pt idx="2">
                  <c:v>High (6–8 hrs)</c:v>
                </c:pt>
                <c:pt idx="3">
                  <c:v>Very High (8+ hrs)</c:v>
                </c:pt>
              </c:strCache>
            </c:strRef>
          </c:cat>
          <c:val>
            <c:numRef>
              <c:f>'PT Exercise Frequency'!$C$32:$C$36</c:f>
              <c:numCache>
                <c:formatCode>0.00%</c:formatCode>
                <c:ptCount val="4"/>
                <c:pt idx="0">
                  <c:v>2.7253668763102725E-2</c:v>
                </c:pt>
                <c:pt idx="1">
                  <c:v>0.18029350104821804</c:v>
                </c:pt>
                <c:pt idx="2">
                  <c:v>0.15303983228511531</c:v>
                </c:pt>
                <c:pt idx="3">
                  <c:v>2.7253668763102725E-2</c:v>
                </c:pt>
              </c:numCache>
            </c:numRef>
          </c:val>
          <c:smooth val="0"/>
          <c:extLst>
            <c:ext xmlns:c16="http://schemas.microsoft.com/office/drawing/2014/chart" uri="{C3380CC4-5D6E-409C-BE32-E72D297353CC}">
              <c16:uniqueId val="{00000005-2A64-4F7F-9328-FE77BC82790D}"/>
            </c:ext>
          </c:extLst>
        </c:ser>
        <c:ser>
          <c:idx val="2"/>
          <c:order val="2"/>
          <c:tx>
            <c:strRef>
              <c:f>'PT Exercise Frequency'!$D$30:$D$31</c:f>
              <c:strCache>
                <c:ptCount val="1"/>
                <c:pt idx="0">
                  <c:v>Advanced (5–7 days)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'PT Exercise Frequency'!$A$32:$A$36</c:f>
              <c:strCache>
                <c:ptCount val="4"/>
                <c:pt idx="0">
                  <c:v>Low (0–3 hrs)</c:v>
                </c:pt>
                <c:pt idx="1">
                  <c:v>Moderate (3–6 hrs)</c:v>
                </c:pt>
                <c:pt idx="2">
                  <c:v>High (6–8 hrs)</c:v>
                </c:pt>
                <c:pt idx="3">
                  <c:v>Very High (8+ hrs)</c:v>
                </c:pt>
              </c:strCache>
            </c:strRef>
          </c:cat>
          <c:val>
            <c:numRef>
              <c:f>'PT Exercise Frequency'!$D$32:$D$36</c:f>
              <c:numCache>
                <c:formatCode>0.00%</c:formatCode>
                <c:ptCount val="4"/>
                <c:pt idx="0">
                  <c:v>1.6771488469601678E-2</c:v>
                </c:pt>
                <c:pt idx="1">
                  <c:v>4.6121593291404611E-2</c:v>
                </c:pt>
                <c:pt idx="2">
                  <c:v>1.6771488469601678E-2</c:v>
                </c:pt>
                <c:pt idx="3">
                  <c:v>2.0964360587002098E-3</c:v>
                </c:pt>
              </c:numCache>
            </c:numRef>
          </c:val>
          <c:smooth val="0"/>
          <c:extLst>
            <c:ext xmlns:c16="http://schemas.microsoft.com/office/drawing/2014/chart" uri="{C3380CC4-5D6E-409C-BE32-E72D297353CC}">
              <c16:uniqueId val="{00000006-2A64-4F7F-9328-FE77BC82790D}"/>
            </c:ext>
          </c:extLst>
        </c:ser>
        <c:dLbls>
          <c:showLegendKey val="0"/>
          <c:showVal val="0"/>
          <c:showCatName val="0"/>
          <c:showSerName val="0"/>
          <c:showPercent val="0"/>
          <c:showBubbleSize val="0"/>
        </c:dLbls>
        <c:marker val="1"/>
        <c:smooth val="0"/>
        <c:axId val="740394799"/>
        <c:axId val="740395759"/>
      </c:lineChart>
      <c:catAx>
        <c:axId val="74039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95759"/>
        <c:crosses val="autoZero"/>
        <c:auto val="1"/>
        <c:lblAlgn val="ctr"/>
        <c:lblOffset val="100"/>
        <c:noMultiLvlLbl val="0"/>
      </c:catAx>
      <c:valAx>
        <c:axId val="740395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9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[Mental_Health_and_Social_Media_Balance_Dataset_done.xlsx]PT Correlations!pvtScreenGroups</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Daily Screen Time vs Mental Well-Being Indicators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'PT Correlations'!$C$74</c:f>
              <c:strCache>
                <c:ptCount val="1"/>
                <c:pt idx="0">
                  <c:v>Average of Happiness (1-10)</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 Correlations'!$A$75:$A$78</c:f>
              <c:strCache>
                <c:ptCount val="4"/>
                <c:pt idx="0">
                  <c:v>Low (0–3 hrs)</c:v>
                </c:pt>
                <c:pt idx="1">
                  <c:v>Moderate (3–6 hrs)</c:v>
                </c:pt>
                <c:pt idx="2">
                  <c:v>High (6–8 hrs)</c:v>
                </c:pt>
                <c:pt idx="3">
                  <c:v>Very High (8+ hrs)</c:v>
                </c:pt>
              </c:strCache>
            </c:strRef>
          </c:cat>
          <c:val>
            <c:numRef>
              <c:f>'PT Correlations'!$C$75:$C$78</c:f>
              <c:numCache>
                <c:formatCode>0</c:formatCode>
                <c:ptCount val="4"/>
                <c:pt idx="0">
                  <c:v>9.8000000000000007</c:v>
                </c:pt>
                <c:pt idx="1">
                  <c:v>9.0978723404255319</c:v>
                </c:pt>
                <c:pt idx="2">
                  <c:v>7.497109826589595</c:v>
                </c:pt>
                <c:pt idx="3">
                  <c:v>6.117647058823529</c:v>
                </c:pt>
              </c:numCache>
            </c:numRef>
          </c:val>
          <c:extLst>
            <c:ext xmlns:c16="http://schemas.microsoft.com/office/drawing/2014/chart" uri="{C3380CC4-5D6E-409C-BE32-E72D297353CC}">
              <c16:uniqueId val="{00000000-338F-43BA-972E-F78BB1333049}"/>
            </c:ext>
          </c:extLst>
        </c:ser>
        <c:ser>
          <c:idx val="2"/>
          <c:order val="2"/>
          <c:tx>
            <c:strRef>
              <c:f>'PT Correlations'!$D$74</c:f>
              <c:strCache>
                <c:ptCount val="1"/>
                <c:pt idx="0">
                  <c:v>Average of Sleep Quality (1-10)</c:v>
                </c:pt>
              </c:strCache>
            </c:strRef>
          </c:tx>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'PT Correlations'!$A$75:$A$78</c:f>
              <c:strCache>
                <c:ptCount val="4"/>
                <c:pt idx="0">
                  <c:v>Low (0–3 hrs)</c:v>
                </c:pt>
                <c:pt idx="1">
                  <c:v>Moderate (3–6 hrs)</c:v>
                </c:pt>
                <c:pt idx="2">
                  <c:v>High (6–8 hrs)</c:v>
                </c:pt>
                <c:pt idx="3">
                  <c:v>Very High (8+ hrs)</c:v>
                </c:pt>
              </c:strCache>
            </c:strRef>
          </c:cat>
          <c:val>
            <c:numRef>
              <c:f>'PT Correlations'!$D$75:$D$78</c:f>
              <c:numCache>
                <c:formatCode>0</c:formatCode>
                <c:ptCount val="4"/>
                <c:pt idx="0">
                  <c:v>8.4285714285714288</c:v>
                </c:pt>
                <c:pt idx="1">
                  <c:v>6.9148936170212769</c:v>
                </c:pt>
                <c:pt idx="2">
                  <c:v>5.4161849710982661</c:v>
                </c:pt>
                <c:pt idx="3">
                  <c:v>4.1764705882352944</c:v>
                </c:pt>
              </c:numCache>
            </c:numRef>
          </c:val>
          <c:extLst>
            <c:ext xmlns:c16="http://schemas.microsoft.com/office/drawing/2014/chart" uri="{C3380CC4-5D6E-409C-BE32-E72D297353CC}">
              <c16:uniqueId val="{00000001-338F-43BA-972E-F78BB1333049}"/>
            </c:ext>
          </c:extLst>
        </c:ser>
        <c:dLbls>
          <c:showLegendKey val="0"/>
          <c:showVal val="0"/>
          <c:showCatName val="0"/>
          <c:showSerName val="0"/>
          <c:showPercent val="0"/>
          <c:showBubbleSize val="0"/>
        </c:dLbls>
        <c:gapWidth val="219"/>
        <c:axId val="290189104"/>
        <c:axId val="290188144"/>
      </c:barChart>
      <c:lineChart>
        <c:grouping val="standard"/>
        <c:varyColors val="0"/>
        <c:ser>
          <c:idx val="0"/>
          <c:order val="0"/>
          <c:tx>
            <c:strRef>
              <c:f>'PT Correlations'!$B$74</c:f>
              <c:strCache>
                <c:ptCount val="1"/>
                <c:pt idx="0">
                  <c:v>Average of Stress Level (1-10)</c:v>
                </c:pt>
              </c:strCache>
            </c:strRef>
          </c:tx>
          <c:spPr>
            <a:ln w="34925" cap="rnd">
              <a:solidFill>
                <a:schemeClr val="accent2">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cat>
            <c:strRef>
              <c:f>'PT Correlations'!$A$75:$A$78</c:f>
              <c:strCache>
                <c:ptCount val="4"/>
                <c:pt idx="0">
                  <c:v>Low (0–3 hrs)</c:v>
                </c:pt>
                <c:pt idx="1">
                  <c:v>Moderate (3–6 hrs)</c:v>
                </c:pt>
                <c:pt idx="2">
                  <c:v>High (6–8 hrs)</c:v>
                </c:pt>
                <c:pt idx="3">
                  <c:v>Very High (8+ hrs)</c:v>
                </c:pt>
              </c:strCache>
            </c:strRef>
          </c:cat>
          <c:val>
            <c:numRef>
              <c:f>'PT Correlations'!$B$75:$B$78</c:f>
              <c:numCache>
                <c:formatCode>0</c:formatCode>
                <c:ptCount val="4"/>
                <c:pt idx="0">
                  <c:v>4.4000000000000004</c:v>
                </c:pt>
                <c:pt idx="1">
                  <c:v>5.9829787234042557</c:v>
                </c:pt>
                <c:pt idx="2">
                  <c:v>7.5144508670520231</c:v>
                </c:pt>
                <c:pt idx="3">
                  <c:v>8.735294117647058</c:v>
                </c:pt>
              </c:numCache>
            </c:numRef>
          </c:val>
          <c:smooth val="0"/>
          <c:extLst>
            <c:ext xmlns:c16="http://schemas.microsoft.com/office/drawing/2014/chart" uri="{C3380CC4-5D6E-409C-BE32-E72D297353CC}">
              <c16:uniqueId val="{00000002-338F-43BA-972E-F78BB1333049}"/>
            </c:ext>
          </c:extLst>
        </c:ser>
        <c:dLbls>
          <c:showLegendKey val="0"/>
          <c:showVal val="0"/>
          <c:showCatName val="0"/>
          <c:showSerName val="0"/>
          <c:showPercent val="0"/>
          <c:showBubbleSize val="0"/>
        </c:dLbls>
        <c:marker val="1"/>
        <c:smooth val="0"/>
        <c:axId val="290189104"/>
        <c:axId val="290188144"/>
      </c:lineChart>
      <c:catAx>
        <c:axId val="2901891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88144"/>
        <c:crosses val="autoZero"/>
        <c:auto val="1"/>
        <c:lblAlgn val="ctr"/>
        <c:lblOffset val="100"/>
        <c:noMultiLvlLbl val="0"/>
      </c:catAx>
      <c:valAx>
        <c:axId val="290188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1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[Mental_Health_and_Social_Media_Balance_Dataset_done.xlsx]PT Correlations!pvtAvgUse</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Average Daily Time Spent on Social Media Platforms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 Correlations'!$B$57</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 Correlations'!$A$58:$A$64</c:f>
              <c:strCache>
                <c:ptCount val="6"/>
                <c:pt idx="0">
                  <c:v>LinkedIn</c:v>
                </c:pt>
                <c:pt idx="1">
                  <c:v>X (Twitter)</c:v>
                </c:pt>
                <c:pt idx="2">
                  <c:v>TikTok</c:v>
                </c:pt>
                <c:pt idx="3">
                  <c:v>YouTube</c:v>
                </c:pt>
                <c:pt idx="4">
                  <c:v>Facebook</c:v>
                </c:pt>
                <c:pt idx="5">
                  <c:v>Instagram</c:v>
                </c:pt>
              </c:strCache>
            </c:strRef>
          </c:cat>
          <c:val>
            <c:numRef>
              <c:f>'PT Correlations'!$B$58:$B$64</c:f>
              <c:numCache>
                <c:formatCode>0.0</c:formatCode>
                <c:ptCount val="6"/>
                <c:pt idx="0">
                  <c:v>5.2734939759036141</c:v>
                </c:pt>
                <c:pt idx="1">
                  <c:v>5.418292682926829</c:v>
                </c:pt>
                <c:pt idx="2">
                  <c:v>5.436956521739134</c:v>
                </c:pt>
                <c:pt idx="3">
                  <c:v>5.536231884057969</c:v>
                </c:pt>
                <c:pt idx="4">
                  <c:v>5.6712500000000023</c:v>
                </c:pt>
                <c:pt idx="5">
                  <c:v>6.0647887323943639</c:v>
                </c:pt>
              </c:numCache>
            </c:numRef>
          </c:val>
          <c:extLst>
            <c:ext xmlns:c16="http://schemas.microsoft.com/office/drawing/2014/chart" uri="{C3380CC4-5D6E-409C-BE32-E72D297353CC}">
              <c16:uniqueId val="{00000000-1652-4318-9000-5C4735D0D681}"/>
            </c:ext>
          </c:extLst>
        </c:ser>
        <c:dLbls>
          <c:dLblPos val="outEnd"/>
          <c:showLegendKey val="0"/>
          <c:showVal val="1"/>
          <c:showCatName val="0"/>
          <c:showSerName val="0"/>
          <c:showPercent val="0"/>
          <c:showBubbleSize val="0"/>
        </c:dLbls>
        <c:gapWidth val="115"/>
        <c:overlap val="-20"/>
        <c:axId val="930172384"/>
        <c:axId val="930178624"/>
      </c:barChart>
      <c:catAx>
        <c:axId val="9301723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78624"/>
        <c:crosses val="autoZero"/>
        <c:auto val="1"/>
        <c:lblAlgn val="ctr"/>
        <c:lblOffset val="100"/>
        <c:noMultiLvlLbl val="0"/>
      </c:catAx>
      <c:valAx>
        <c:axId val="93017862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172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[Mental_Health_and_Social_Media_Balance_Dataset_done.xlsx]PT Avg!pvtAgeGroups</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i="0" u="none" strike="noStrike" baseline="0"/>
              <a:t>Age-Based Social Media Engagement Patterns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w="9525">
              <a:solidFill>
                <a:schemeClr val="accent2">
                  <a:tint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w="9525">
              <a:solidFill>
                <a:schemeClr val="accent2">
                  <a:tint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w="9525">
              <a:solidFill>
                <a:schemeClr val="accent2">
                  <a:tint val="9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w="9525">
              <a:solidFill>
                <a:schemeClr val="accent2">
                  <a:shade val="9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w="9525">
              <a:solidFill>
                <a:schemeClr val="accent2">
                  <a:shade val="7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w="9525">
              <a:solidFill>
                <a:schemeClr val="accent2">
                  <a:shade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Avg'!$B$105:$B$106</c:f>
              <c:strCache>
                <c:ptCount val="1"/>
                <c:pt idx="0">
                  <c:v>Facebook</c:v>
                </c:pt>
              </c:strCache>
            </c:strRef>
          </c:tx>
          <c:spPr>
            <a:ln w="34925" cap="rnd">
              <a:solidFill>
                <a:schemeClr val="accent2">
                  <a:tint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50000"/>
                      <a:satMod val="103000"/>
                      <a:lumMod val="102000"/>
                      <a:tint val="94000"/>
                    </a:schemeClr>
                  </a:gs>
                  <a:gs pos="50000">
                    <a:schemeClr val="accent2">
                      <a:tint val="50000"/>
                      <a:satMod val="110000"/>
                      <a:lumMod val="100000"/>
                      <a:shade val="100000"/>
                    </a:schemeClr>
                  </a:gs>
                  <a:gs pos="100000">
                    <a:schemeClr val="accent2">
                      <a:tint val="50000"/>
                      <a:lumMod val="99000"/>
                      <a:satMod val="120000"/>
                      <a:shade val="78000"/>
                    </a:schemeClr>
                  </a:gs>
                </a:gsLst>
                <a:lin ang="5400000" scaled="0"/>
              </a:gradFill>
              <a:ln w="9525">
                <a:solidFill>
                  <a:schemeClr val="accent2">
                    <a:tint val="50000"/>
                  </a:schemeClr>
                </a:solidFill>
                <a:round/>
              </a:ln>
              <a:effectLst>
                <a:outerShdw blurRad="57150" dist="19050" dir="5400000" algn="ctr" rotWithShape="0">
                  <a:srgbClr val="000000">
                    <a:alpha val="63000"/>
                  </a:srgbClr>
                </a:outerShdw>
              </a:effectLst>
            </c:spPr>
          </c:marker>
          <c:cat>
            <c:strRef>
              <c:f>'PT Avg'!$A$107:$A$111</c:f>
              <c:strCache>
                <c:ptCount val="4"/>
                <c:pt idx="0">
                  <c:v>Youth (16–24)</c:v>
                </c:pt>
                <c:pt idx="1">
                  <c:v>Young Adults (25–34)</c:v>
                </c:pt>
                <c:pt idx="2">
                  <c:v>Adults (35–44)</c:v>
                </c:pt>
                <c:pt idx="3">
                  <c:v>Middle-aged (45–54)</c:v>
                </c:pt>
              </c:strCache>
            </c:strRef>
          </c:cat>
          <c:val>
            <c:numRef>
              <c:f>'PT Avg'!$B$107:$B$111</c:f>
              <c:numCache>
                <c:formatCode>0.00%</c:formatCode>
                <c:ptCount val="4"/>
                <c:pt idx="0">
                  <c:v>2.7253668763102725E-2</c:v>
                </c:pt>
                <c:pt idx="1">
                  <c:v>5.2410901467505239E-2</c:v>
                </c:pt>
                <c:pt idx="2">
                  <c:v>6.0796645702306078E-2</c:v>
                </c:pt>
                <c:pt idx="3">
                  <c:v>2.7253668763102725E-2</c:v>
                </c:pt>
              </c:numCache>
            </c:numRef>
          </c:val>
          <c:smooth val="0"/>
          <c:extLst>
            <c:ext xmlns:c16="http://schemas.microsoft.com/office/drawing/2014/chart" uri="{C3380CC4-5D6E-409C-BE32-E72D297353CC}">
              <c16:uniqueId val="{00000000-A231-4E70-A32E-EF119BFEA084}"/>
            </c:ext>
          </c:extLst>
        </c:ser>
        <c:ser>
          <c:idx val="1"/>
          <c:order val="1"/>
          <c:tx>
            <c:strRef>
              <c:f>'PT Avg'!$C$105:$C$106</c:f>
              <c:strCache>
                <c:ptCount val="1"/>
                <c:pt idx="0">
                  <c:v>Instagram</c:v>
                </c:pt>
              </c:strCache>
            </c:strRef>
          </c:tx>
          <c:spPr>
            <a:ln w="34925" cap="rnd">
              <a:solidFill>
                <a:schemeClr val="accent2">
                  <a:tint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70000"/>
                      <a:satMod val="103000"/>
                      <a:lumMod val="102000"/>
                      <a:tint val="94000"/>
                    </a:schemeClr>
                  </a:gs>
                  <a:gs pos="50000">
                    <a:schemeClr val="accent2">
                      <a:tint val="70000"/>
                      <a:satMod val="110000"/>
                      <a:lumMod val="100000"/>
                      <a:shade val="100000"/>
                    </a:schemeClr>
                  </a:gs>
                  <a:gs pos="100000">
                    <a:schemeClr val="accent2">
                      <a:tint val="70000"/>
                      <a:lumMod val="99000"/>
                      <a:satMod val="120000"/>
                      <a:shade val="78000"/>
                    </a:schemeClr>
                  </a:gs>
                </a:gsLst>
                <a:lin ang="5400000" scaled="0"/>
              </a:gradFill>
              <a:ln w="9525">
                <a:solidFill>
                  <a:schemeClr val="accent2">
                    <a:tint val="70000"/>
                  </a:schemeClr>
                </a:solidFill>
                <a:round/>
              </a:ln>
              <a:effectLst>
                <a:outerShdw blurRad="57150" dist="19050" dir="5400000" algn="ctr" rotWithShape="0">
                  <a:srgbClr val="000000">
                    <a:alpha val="63000"/>
                  </a:srgbClr>
                </a:outerShdw>
              </a:effectLst>
            </c:spPr>
          </c:marker>
          <c:cat>
            <c:strRef>
              <c:f>'PT Avg'!$A$107:$A$111</c:f>
              <c:strCache>
                <c:ptCount val="4"/>
                <c:pt idx="0">
                  <c:v>Youth (16–24)</c:v>
                </c:pt>
                <c:pt idx="1">
                  <c:v>Young Adults (25–34)</c:v>
                </c:pt>
                <c:pt idx="2">
                  <c:v>Adults (35–44)</c:v>
                </c:pt>
                <c:pt idx="3">
                  <c:v>Middle-aged (45–54)</c:v>
                </c:pt>
              </c:strCache>
            </c:strRef>
          </c:cat>
          <c:val>
            <c:numRef>
              <c:f>'PT Avg'!$C$107:$C$111</c:f>
              <c:numCache>
                <c:formatCode>0.00%</c:formatCode>
                <c:ptCount val="4"/>
                <c:pt idx="0">
                  <c:v>3.1446540880503145E-2</c:v>
                </c:pt>
                <c:pt idx="1">
                  <c:v>3.9832285115303984E-2</c:v>
                </c:pt>
                <c:pt idx="2">
                  <c:v>5.0314465408805034E-2</c:v>
                </c:pt>
                <c:pt idx="3">
                  <c:v>2.7253668763102725E-2</c:v>
                </c:pt>
              </c:numCache>
            </c:numRef>
          </c:val>
          <c:smooth val="0"/>
          <c:extLst>
            <c:ext xmlns:c16="http://schemas.microsoft.com/office/drawing/2014/chart" uri="{C3380CC4-5D6E-409C-BE32-E72D297353CC}">
              <c16:uniqueId val="{00000001-A231-4E70-A32E-EF119BFEA084}"/>
            </c:ext>
          </c:extLst>
        </c:ser>
        <c:ser>
          <c:idx val="2"/>
          <c:order val="2"/>
          <c:tx>
            <c:strRef>
              <c:f>'PT Avg'!$D$105:$D$106</c:f>
              <c:strCache>
                <c:ptCount val="1"/>
                <c:pt idx="0">
                  <c:v>LinkedIn</c:v>
                </c:pt>
              </c:strCache>
            </c:strRef>
          </c:tx>
          <c:spPr>
            <a:ln w="34925" cap="rnd">
              <a:solidFill>
                <a:schemeClr val="accent2">
                  <a:tint val="9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90000"/>
                      <a:satMod val="103000"/>
                      <a:lumMod val="102000"/>
                      <a:tint val="94000"/>
                    </a:schemeClr>
                  </a:gs>
                  <a:gs pos="50000">
                    <a:schemeClr val="accent2">
                      <a:tint val="90000"/>
                      <a:satMod val="110000"/>
                      <a:lumMod val="100000"/>
                      <a:shade val="100000"/>
                    </a:schemeClr>
                  </a:gs>
                  <a:gs pos="100000">
                    <a:schemeClr val="accent2">
                      <a:tint val="90000"/>
                      <a:lumMod val="99000"/>
                      <a:satMod val="120000"/>
                      <a:shade val="78000"/>
                    </a:schemeClr>
                  </a:gs>
                </a:gsLst>
                <a:lin ang="5400000" scaled="0"/>
              </a:gradFill>
              <a:ln w="9525">
                <a:solidFill>
                  <a:schemeClr val="accent2">
                    <a:tint val="90000"/>
                  </a:schemeClr>
                </a:solidFill>
                <a:round/>
              </a:ln>
              <a:effectLst>
                <a:outerShdw blurRad="57150" dist="19050" dir="5400000" algn="ctr" rotWithShape="0">
                  <a:srgbClr val="000000">
                    <a:alpha val="63000"/>
                  </a:srgbClr>
                </a:outerShdw>
              </a:effectLst>
            </c:spPr>
          </c:marker>
          <c:cat>
            <c:strRef>
              <c:f>'PT Avg'!$A$107:$A$111</c:f>
              <c:strCache>
                <c:ptCount val="4"/>
                <c:pt idx="0">
                  <c:v>Youth (16–24)</c:v>
                </c:pt>
                <c:pt idx="1">
                  <c:v>Young Adults (25–34)</c:v>
                </c:pt>
                <c:pt idx="2">
                  <c:v>Adults (35–44)</c:v>
                </c:pt>
                <c:pt idx="3">
                  <c:v>Middle-aged (45–54)</c:v>
                </c:pt>
              </c:strCache>
            </c:strRef>
          </c:cat>
          <c:val>
            <c:numRef>
              <c:f>'PT Avg'!$D$107:$D$111</c:f>
              <c:numCache>
                <c:formatCode>0.00%</c:formatCode>
                <c:ptCount val="4"/>
                <c:pt idx="0">
                  <c:v>4.1928721174004195E-2</c:v>
                </c:pt>
                <c:pt idx="1">
                  <c:v>3.7735849056603772E-2</c:v>
                </c:pt>
                <c:pt idx="2">
                  <c:v>6.4989517819706494E-2</c:v>
                </c:pt>
                <c:pt idx="3">
                  <c:v>2.9350104821802937E-2</c:v>
                </c:pt>
              </c:numCache>
            </c:numRef>
          </c:val>
          <c:smooth val="0"/>
          <c:extLst>
            <c:ext xmlns:c16="http://schemas.microsoft.com/office/drawing/2014/chart" uri="{C3380CC4-5D6E-409C-BE32-E72D297353CC}">
              <c16:uniqueId val="{00000002-A231-4E70-A32E-EF119BFEA084}"/>
            </c:ext>
          </c:extLst>
        </c:ser>
        <c:ser>
          <c:idx val="3"/>
          <c:order val="3"/>
          <c:tx>
            <c:strRef>
              <c:f>'PT Avg'!$E$105:$E$106</c:f>
              <c:strCache>
                <c:ptCount val="1"/>
                <c:pt idx="0">
                  <c:v>TikTok</c:v>
                </c:pt>
              </c:strCache>
            </c:strRef>
          </c:tx>
          <c:spPr>
            <a:ln w="34925" cap="rnd">
              <a:solidFill>
                <a:schemeClr val="accent2">
                  <a:shade val="9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90000"/>
                      <a:satMod val="103000"/>
                      <a:lumMod val="102000"/>
                      <a:tint val="94000"/>
                    </a:schemeClr>
                  </a:gs>
                  <a:gs pos="50000">
                    <a:schemeClr val="accent2">
                      <a:shade val="90000"/>
                      <a:satMod val="110000"/>
                      <a:lumMod val="100000"/>
                      <a:shade val="100000"/>
                    </a:schemeClr>
                  </a:gs>
                  <a:gs pos="100000">
                    <a:schemeClr val="accent2">
                      <a:shade val="90000"/>
                      <a:lumMod val="99000"/>
                      <a:satMod val="120000"/>
                      <a:shade val="78000"/>
                    </a:schemeClr>
                  </a:gs>
                </a:gsLst>
                <a:lin ang="5400000" scaled="0"/>
              </a:gradFill>
              <a:ln w="9525">
                <a:solidFill>
                  <a:schemeClr val="accent2">
                    <a:shade val="90000"/>
                  </a:schemeClr>
                </a:solidFill>
                <a:round/>
              </a:ln>
              <a:effectLst>
                <a:outerShdw blurRad="57150" dist="19050" dir="5400000" algn="ctr" rotWithShape="0">
                  <a:srgbClr val="000000">
                    <a:alpha val="63000"/>
                  </a:srgbClr>
                </a:outerShdw>
              </a:effectLst>
            </c:spPr>
          </c:marker>
          <c:cat>
            <c:strRef>
              <c:f>'PT Avg'!$A$107:$A$111</c:f>
              <c:strCache>
                <c:ptCount val="4"/>
                <c:pt idx="0">
                  <c:v>Youth (16–24)</c:v>
                </c:pt>
                <c:pt idx="1">
                  <c:v>Young Adults (25–34)</c:v>
                </c:pt>
                <c:pt idx="2">
                  <c:v>Adults (35–44)</c:v>
                </c:pt>
                <c:pt idx="3">
                  <c:v>Middle-aged (45–54)</c:v>
                </c:pt>
              </c:strCache>
            </c:strRef>
          </c:cat>
          <c:val>
            <c:numRef>
              <c:f>'PT Avg'!$E$107:$E$111</c:f>
              <c:numCache>
                <c:formatCode>0.00%</c:formatCode>
                <c:ptCount val="4"/>
                <c:pt idx="0">
                  <c:v>4.6121593291404611E-2</c:v>
                </c:pt>
                <c:pt idx="1">
                  <c:v>5.2410901467505239E-2</c:v>
                </c:pt>
                <c:pt idx="2">
                  <c:v>6.9182389937106917E-2</c:v>
                </c:pt>
                <c:pt idx="3">
                  <c:v>2.5157232704402517E-2</c:v>
                </c:pt>
              </c:numCache>
            </c:numRef>
          </c:val>
          <c:smooth val="0"/>
          <c:extLst>
            <c:ext xmlns:c16="http://schemas.microsoft.com/office/drawing/2014/chart" uri="{C3380CC4-5D6E-409C-BE32-E72D297353CC}">
              <c16:uniqueId val="{00000003-A231-4E70-A32E-EF119BFEA084}"/>
            </c:ext>
          </c:extLst>
        </c:ser>
        <c:ser>
          <c:idx val="4"/>
          <c:order val="4"/>
          <c:tx>
            <c:strRef>
              <c:f>'PT Avg'!$F$105:$F$106</c:f>
              <c:strCache>
                <c:ptCount val="1"/>
                <c:pt idx="0">
                  <c:v>X (Twitter)</c:v>
                </c:pt>
              </c:strCache>
            </c:strRef>
          </c:tx>
          <c:spPr>
            <a:ln w="34925" cap="rnd">
              <a:solidFill>
                <a:schemeClr val="accent2">
                  <a:shade val="7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70000"/>
                      <a:satMod val="103000"/>
                      <a:lumMod val="102000"/>
                      <a:tint val="94000"/>
                    </a:schemeClr>
                  </a:gs>
                  <a:gs pos="50000">
                    <a:schemeClr val="accent2">
                      <a:shade val="70000"/>
                      <a:satMod val="110000"/>
                      <a:lumMod val="100000"/>
                      <a:shade val="100000"/>
                    </a:schemeClr>
                  </a:gs>
                  <a:gs pos="100000">
                    <a:schemeClr val="accent2">
                      <a:shade val="70000"/>
                      <a:lumMod val="99000"/>
                      <a:satMod val="120000"/>
                      <a:shade val="78000"/>
                    </a:schemeClr>
                  </a:gs>
                </a:gsLst>
                <a:lin ang="5400000" scaled="0"/>
              </a:gradFill>
              <a:ln w="9525">
                <a:solidFill>
                  <a:schemeClr val="accent2">
                    <a:shade val="70000"/>
                  </a:schemeClr>
                </a:solidFill>
                <a:round/>
              </a:ln>
              <a:effectLst>
                <a:outerShdw blurRad="57150" dist="19050" dir="5400000" algn="ctr" rotWithShape="0">
                  <a:srgbClr val="000000">
                    <a:alpha val="63000"/>
                  </a:srgbClr>
                </a:outerShdw>
              </a:effectLst>
            </c:spPr>
          </c:marker>
          <c:cat>
            <c:strRef>
              <c:f>'PT Avg'!$A$107:$A$111</c:f>
              <c:strCache>
                <c:ptCount val="4"/>
                <c:pt idx="0">
                  <c:v>Youth (16–24)</c:v>
                </c:pt>
                <c:pt idx="1">
                  <c:v>Young Adults (25–34)</c:v>
                </c:pt>
                <c:pt idx="2">
                  <c:v>Adults (35–44)</c:v>
                </c:pt>
                <c:pt idx="3">
                  <c:v>Middle-aged (45–54)</c:v>
                </c:pt>
              </c:strCache>
            </c:strRef>
          </c:cat>
          <c:val>
            <c:numRef>
              <c:f>'PT Avg'!$F$107:$F$111</c:f>
              <c:numCache>
                <c:formatCode>0.00%</c:formatCode>
                <c:ptCount val="4"/>
                <c:pt idx="0">
                  <c:v>6.2893081761006289E-2</c:v>
                </c:pt>
                <c:pt idx="1">
                  <c:v>4.8218029350104823E-2</c:v>
                </c:pt>
                <c:pt idx="2">
                  <c:v>4.1928721174004195E-2</c:v>
                </c:pt>
                <c:pt idx="3">
                  <c:v>1.8867924528301886E-2</c:v>
                </c:pt>
              </c:numCache>
            </c:numRef>
          </c:val>
          <c:smooth val="0"/>
          <c:extLst>
            <c:ext xmlns:c16="http://schemas.microsoft.com/office/drawing/2014/chart" uri="{C3380CC4-5D6E-409C-BE32-E72D297353CC}">
              <c16:uniqueId val="{00000004-A231-4E70-A32E-EF119BFEA084}"/>
            </c:ext>
          </c:extLst>
        </c:ser>
        <c:ser>
          <c:idx val="5"/>
          <c:order val="5"/>
          <c:tx>
            <c:strRef>
              <c:f>'PT Avg'!$G$105:$G$106</c:f>
              <c:strCache>
                <c:ptCount val="1"/>
                <c:pt idx="0">
                  <c:v>YouTube</c:v>
                </c:pt>
              </c:strCache>
            </c:strRef>
          </c:tx>
          <c:spPr>
            <a:ln w="34925" cap="rnd">
              <a:solidFill>
                <a:schemeClr val="accent2">
                  <a:shade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50000"/>
                      <a:satMod val="103000"/>
                      <a:lumMod val="102000"/>
                      <a:tint val="94000"/>
                    </a:schemeClr>
                  </a:gs>
                  <a:gs pos="50000">
                    <a:schemeClr val="accent2">
                      <a:shade val="50000"/>
                      <a:satMod val="110000"/>
                      <a:lumMod val="100000"/>
                      <a:shade val="100000"/>
                    </a:schemeClr>
                  </a:gs>
                  <a:gs pos="100000">
                    <a:schemeClr val="accent2">
                      <a:shade val="50000"/>
                      <a:lumMod val="99000"/>
                      <a:satMod val="120000"/>
                      <a:shade val="78000"/>
                    </a:schemeClr>
                  </a:gs>
                </a:gsLst>
                <a:lin ang="5400000" scaled="0"/>
              </a:gradFill>
              <a:ln w="9525">
                <a:solidFill>
                  <a:schemeClr val="accent2">
                    <a:shade val="50000"/>
                  </a:schemeClr>
                </a:solidFill>
                <a:round/>
              </a:ln>
              <a:effectLst>
                <a:outerShdw blurRad="57150" dist="19050" dir="5400000" algn="ctr" rotWithShape="0">
                  <a:srgbClr val="000000">
                    <a:alpha val="63000"/>
                  </a:srgbClr>
                </a:outerShdw>
              </a:effectLst>
            </c:spPr>
          </c:marker>
          <c:cat>
            <c:strRef>
              <c:f>'PT Avg'!$A$107:$A$111</c:f>
              <c:strCache>
                <c:ptCount val="4"/>
                <c:pt idx="0">
                  <c:v>Youth (16–24)</c:v>
                </c:pt>
                <c:pt idx="1">
                  <c:v>Young Adults (25–34)</c:v>
                </c:pt>
                <c:pt idx="2">
                  <c:v>Adults (35–44)</c:v>
                </c:pt>
                <c:pt idx="3">
                  <c:v>Middle-aged (45–54)</c:v>
                </c:pt>
              </c:strCache>
            </c:strRef>
          </c:cat>
          <c:val>
            <c:numRef>
              <c:f>'PT Avg'!$G$107:$G$111</c:f>
              <c:numCache>
                <c:formatCode>0.00%</c:formatCode>
                <c:ptCount val="4"/>
                <c:pt idx="0">
                  <c:v>4.6121593291404611E-2</c:v>
                </c:pt>
                <c:pt idx="1">
                  <c:v>3.1446540880503145E-2</c:v>
                </c:pt>
                <c:pt idx="2">
                  <c:v>4.40251572327044E-2</c:v>
                </c:pt>
                <c:pt idx="3">
                  <c:v>2.3060796645702306E-2</c:v>
                </c:pt>
              </c:numCache>
            </c:numRef>
          </c:val>
          <c:smooth val="0"/>
          <c:extLst>
            <c:ext xmlns:c16="http://schemas.microsoft.com/office/drawing/2014/chart" uri="{C3380CC4-5D6E-409C-BE32-E72D297353CC}">
              <c16:uniqueId val="{00000005-A231-4E70-A32E-EF119BFEA084}"/>
            </c:ext>
          </c:extLst>
        </c:ser>
        <c:dLbls>
          <c:showLegendKey val="0"/>
          <c:showVal val="0"/>
          <c:showCatName val="0"/>
          <c:showSerName val="0"/>
          <c:showPercent val="0"/>
          <c:showBubbleSize val="0"/>
        </c:dLbls>
        <c:marker val="1"/>
        <c:smooth val="0"/>
        <c:axId val="1828034639"/>
        <c:axId val="1828035119"/>
      </c:lineChart>
      <c:catAx>
        <c:axId val="182803463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35119"/>
        <c:crosses val="autoZero"/>
        <c:auto val="1"/>
        <c:lblAlgn val="ctr"/>
        <c:lblOffset val="100"/>
        <c:noMultiLvlLbl val="0"/>
      </c:catAx>
      <c:valAx>
        <c:axId val="1828035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0346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[Mental_Health_and_Social_Media_Balance_Dataset_done.xlsx]PT Exercise Frequency!pvtExercise</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Screen Time vs Weekly Exercise Participation</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 Exercise Frequency'!$B$30:$B$31</c:f>
              <c:strCache>
                <c:ptCount val="1"/>
                <c:pt idx="0">
                  <c:v>Beginners (0–2 days)</c:v>
                </c:pt>
              </c:strCache>
            </c:strRef>
          </c:tx>
          <c:spPr>
            <a:ln w="34925" cap="rnd">
              <a:solidFill>
                <a:schemeClr val="accent2">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a:solidFill>
                  <a:schemeClr val="accent2">
                    <a:tint val="65000"/>
                  </a:schemeClr>
                </a:solidFill>
                <a:round/>
              </a:ln>
              <a:effectLst>
                <a:outerShdw blurRad="57150" dist="19050" dir="5400000" algn="ctr" rotWithShape="0">
                  <a:srgbClr val="000000">
                    <a:alpha val="63000"/>
                  </a:srgbClr>
                </a:outerShdw>
              </a:effectLst>
            </c:spPr>
          </c:marker>
          <c:cat>
            <c:strRef>
              <c:f>'PT Exercise Frequency'!$A$32:$A$36</c:f>
              <c:strCache>
                <c:ptCount val="4"/>
                <c:pt idx="0">
                  <c:v>Low (0–3 hrs)</c:v>
                </c:pt>
                <c:pt idx="1">
                  <c:v>Moderate (3–6 hrs)</c:v>
                </c:pt>
                <c:pt idx="2">
                  <c:v>High (6–8 hrs)</c:v>
                </c:pt>
                <c:pt idx="3">
                  <c:v>Very High (8+ hrs)</c:v>
                </c:pt>
              </c:strCache>
            </c:strRef>
          </c:cat>
          <c:val>
            <c:numRef>
              <c:f>'PT Exercise Frequency'!$B$32:$B$36</c:f>
              <c:numCache>
                <c:formatCode>0.00%</c:formatCode>
                <c:ptCount val="4"/>
                <c:pt idx="0">
                  <c:v>2.9350104821802937E-2</c:v>
                </c:pt>
                <c:pt idx="1">
                  <c:v>0.2662473794549266</c:v>
                </c:pt>
                <c:pt idx="2">
                  <c:v>0.19287211740041929</c:v>
                </c:pt>
                <c:pt idx="3">
                  <c:v>4.1928721174004195E-2</c:v>
                </c:pt>
              </c:numCache>
            </c:numRef>
          </c:val>
          <c:smooth val="0"/>
          <c:extLst>
            <c:ext xmlns:c16="http://schemas.microsoft.com/office/drawing/2014/chart" uri="{C3380CC4-5D6E-409C-BE32-E72D297353CC}">
              <c16:uniqueId val="{00000000-CCD7-415C-AAE0-3E104EF04956}"/>
            </c:ext>
          </c:extLst>
        </c:ser>
        <c:ser>
          <c:idx val="1"/>
          <c:order val="1"/>
          <c:tx>
            <c:strRef>
              <c:f>'PT Exercise Frequency'!$C$30:$C$31</c:f>
              <c:strCache>
                <c:ptCount val="1"/>
                <c:pt idx="0">
                  <c:v>Intermediate (3–4 days)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'PT Exercise Frequency'!$A$32:$A$36</c:f>
              <c:strCache>
                <c:ptCount val="4"/>
                <c:pt idx="0">
                  <c:v>Low (0–3 hrs)</c:v>
                </c:pt>
                <c:pt idx="1">
                  <c:v>Moderate (3–6 hrs)</c:v>
                </c:pt>
                <c:pt idx="2">
                  <c:v>High (6–8 hrs)</c:v>
                </c:pt>
                <c:pt idx="3">
                  <c:v>Very High (8+ hrs)</c:v>
                </c:pt>
              </c:strCache>
            </c:strRef>
          </c:cat>
          <c:val>
            <c:numRef>
              <c:f>'PT Exercise Frequency'!$C$32:$C$36</c:f>
              <c:numCache>
                <c:formatCode>0.00%</c:formatCode>
                <c:ptCount val="4"/>
                <c:pt idx="0">
                  <c:v>2.7253668763102725E-2</c:v>
                </c:pt>
                <c:pt idx="1">
                  <c:v>0.18029350104821804</c:v>
                </c:pt>
                <c:pt idx="2">
                  <c:v>0.15303983228511531</c:v>
                </c:pt>
                <c:pt idx="3">
                  <c:v>2.7253668763102725E-2</c:v>
                </c:pt>
              </c:numCache>
            </c:numRef>
          </c:val>
          <c:smooth val="0"/>
          <c:extLst>
            <c:ext xmlns:c16="http://schemas.microsoft.com/office/drawing/2014/chart" uri="{C3380CC4-5D6E-409C-BE32-E72D297353CC}">
              <c16:uniqueId val="{00000006-DE02-4DBF-A57D-B2167BC28844}"/>
            </c:ext>
          </c:extLst>
        </c:ser>
        <c:ser>
          <c:idx val="2"/>
          <c:order val="2"/>
          <c:tx>
            <c:strRef>
              <c:f>'PT Exercise Frequency'!$D$30:$D$31</c:f>
              <c:strCache>
                <c:ptCount val="1"/>
                <c:pt idx="0">
                  <c:v>Advanced (5–7 days)</c:v>
                </c:pt>
              </c:strCache>
            </c:strRef>
          </c:tx>
          <c:spPr>
            <a:ln w="34925" cap="rnd">
              <a:solidFill>
                <a:schemeClr val="accent2">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w="9525">
                <a:solidFill>
                  <a:schemeClr val="accent2">
                    <a:shade val="65000"/>
                  </a:schemeClr>
                </a:solidFill>
                <a:round/>
              </a:ln>
              <a:effectLst>
                <a:outerShdw blurRad="57150" dist="19050" dir="5400000" algn="ctr" rotWithShape="0">
                  <a:srgbClr val="000000">
                    <a:alpha val="63000"/>
                  </a:srgbClr>
                </a:outerShdw>
              </a:effectLst>
            </c:spPr>
          </c:marker>
          <c:cat>
            <c:strRef>
              <c:f>'PT Exercise Frequency'!$A$32:$A$36</c:f>
              <c:strCache>
                <c:ptCount val="4"/>
                <c:pt idx="0">
                  <c:v>Low (0–3 hrs)</c:v>
                </c:pt>
                <c:pt idx="1">
                  <c:v>Moderate (3–6 hrs)</c:v>
                </c:pt>
                <c:pt idx="2">
                  <c:v>High (6–8 hrs)</c:v>
                </c:pt>
                <c:pt idx="3">
                  <c:v>Very High (8+ hrs)</c:v>
                </c:pt>
              </c:strCache>
            </c:strRef>
          </c:cat>
          <c:val>
            <c:numRef>
              <c:f>'PT Exercise Frequency'!$D$32:$D$36</c:f>
              <c:numCache>
                <c:formatCode>0.00%</c:formatCode>
                <c:ptCount val="4"/>
                <c:pt idx="0">
                  <c:v>1.6771488469601678E-2</c:v>
                </c:pt>
                <c:pt idx="1">
                  <c:v>4.6121593291404611E-2</c:v>
                </c:pt>
                <c:pt idx="2">
                  <c:v>1.6771488469601678E-2</c:v>
                </c:pt>
                <c:pt idx="3">
                  <c:v>2.0964360587002098E-3</c:v>
                </c:pt>
              </c:numCache>
            </c:numRef>
          </c:val>
          <c:smooth val="0"/>
          <c:extLst>
            <c:ext xmlns:c16="http://schemas.microsoft.com/office/drawing/2014/chart" uri="{C3380CC4-5D6E-409C-BE32-E72D297353CC}">
              <c16:uniqueId val="{00000007-DE02-4DBF-A57D-B2167BC28844}"/>
            </c:ext>
          </c:extLst>
        </c:ser>
        <c:dLbls>
          <c:showLegendKey val="0"/>
          <c:showVal val="0"/>
          <c:showCatName val="0"/>
          <c:showSerName val="0"/>
          <c:showPercent val="0"/>
          <c:showBubbleSize val="0"/>
        </c:dLbls>
        <c:marker val="1"/>
        <c:smooth val="0"/>
        <c:axId val="740394799"/>
        <c:axId val="740395759"/>
      </c:lineChart>
      <c:catAx>
        <c:axId val="740394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95759"/>
        <c:crosses val="autoZero"/>
        <c:auto val="1"/>
        <c:lblAlgn val="ctr"/>
        <c:lblOffset val="100"/>
        <c:noMultiLvlLbl val="0"/>
      </c:catAx>
      <c:valAx>
        <c:axId val="740395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94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Reversed" id="22">
  <a:schemeClr val="accent2"/>
</cs:colorStyle>
</file>

<file path=xl/charts/colors15.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395287</xdr:colOff>
      <xdr:row>9</xdr:row>
      <xdr:rowOff>45244</xdr:rowOff>
    </xdr:from>
    <xdr:to>
      <xdr:col>5</xdr:col>
      <xdr:colOff>1023937</xdr:colOff>
      <xdr:row>22</xdr:row>
      <xdr:rowOff>188119</xdr:rowOff>
    </xdr:to>
    <xdr:graphicFrame macro="">
      <xdr:nvGraphicFramePr>
        <xdr:cNvPr id="2" name="Chart 1">
          <a:extLst>
            <a:ext uri="{FF2B5EF4-FFF2-40B4-BE49-F238E27FC236}">
              <a16:creationId xmlns:a16="http://schemas.microsoft.com/office/drawing/2014/main" id="{CF0842A2-8F02-F57D-D35C-50BF13161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794742</xdr:colOff>
      <xdr:row>86</xdr:row>
      <xdr:rowOff>185141</xdr:rowOff>
    </xdr:from>
    <xdr:to>
      <xdr:col>4</xdr:col>
      <xdr:colOff>1625204</xdr:colOff>
      <xdr:row>100</xdr:row>
      <xdr:rowOff>94653</xdr:rowOff>
    </xdr:to>
    <xdr:graphicFrame macro="">
      <xdr:nvGraphicFramePr>
        <xdr:cNvPr id="3" name="Chart 2">
          <a:extLst>
            <a:ext uri="{FF2B5EF4-FFF2-40B4-BE49-F238E27FC236}">
              <a16:creationId xmlns:a16="http://schemas.microsoft.com/office/drawing/2014/main" id="{786E26F6-BA1C-0B74-701F-901BB6062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449462</xdr:colOff>
      <xdr:row>35</xdr:row>
      <xdr:rowOff>72032</xdr:rowOff>
    </xdr:from>
    <xdr:to>
      <xdr:col>5</xdr:col>
      <xdr:colOff>226219</xdr:colOff>
      <xdr:row>51</xdr:row>
      <xdr:rowOff>148828</xdr:rowOff>
    </xdr:to>
    <xdr:graphicFrame macro="">
      <xdr:nvGraphicFramePr>
        <xdr:cNvPr id="4" name="Chart 3">
          <a:extLst>
            <a:ext uri="{FF2B5EF4-FFF2-40B4-BE49-F238E27FC236}">
              <a16:creationId xmlns:a16="http://schemas.microsoft.com/office/drawing/2014/main" id="{5328CED3-4B6B-949E-2F9A-096BC4B9F9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759023</xdr:colOff>
      <xdr:row>111</xdr:row>
      <xdr:rowOff>139501</xdr:rowOff>
    </xdr:from>
    <xdr:to>
      <xdr:col>4</xdr:col>
      <xdr:colOff>2119312</xdr:colOff>
      <xdr:row>125</xdr:row>
      <xdr:rowOff>49013</xdr:rowOff>
    </xdr:to>
    <xdr:graphicFrame macro="">
      <xdr:nvGraphicFramePr>
        <xdr:cNvPr id="5" name="Chart 4">
          <a:extLst>
            <a:ext uri="{FF2B5EF4-FFF2-40B4-BE49-F238E27FC236}">
              <a16:creationId xmlns:a16="http://schemas.microsoft.com/office/drawing/2014/main" id="{BBF7DDC9-CA3E-B7FB-AEDD-419A97A38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435767</xdr:colOff>
      <xdr:row>15</xdr:row>
      <xdr:rowOff>102393</xdr:rowOff>
    </xdr:from>
    <xdr:to>
      <xdr:col>21</xdr:col>
      <xdr:colOff>77389</xdr:colOff>
      <xdr:row>29</xdr:row>
      <xdr:rowOff>45243</xdr:rowOff>
    </xdr:to>
    <xdr:graphicFrame macro="">
      <xdr:nvGraphicFramePr>
        <xdr:cNvPr id="2" name="Chart 1">
          <a:extLst>
            <a:ext uri="{FF2B5EF4-FFF2-40B4-BE49-F238E27FC236}">
              <a16:creationId xmlns:a16="http://schemas.microsoft.com/office/drawing/2014/main" id="{6CE3D52C-2DE2-4C71-55F0-CC4CC7A10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354210</xdr:colOff>
      <xdr:row>33</xdr:row>
      <xdr:rowOff>179189</xdr:rowOff>
    </xdr:from>
    <xdr:to>
      <xdr:col>19</xdr:col>
      <xdr:colOff>202406</xdr:colOff>
      <xdr:row>47</xdr:row>
      <xdr:rowOff>88701</xdr:rowOff>
    </xdr:to>
    <xdr:graphicFrame macro="">
      <xdr:nvGraphicFramePr>
        <xdr:cNvPr id="3" name="Chart 2">
          <a:extLst>
            <a:ext uri="{FF2B5EF4-FFF2-40B4-BE49-F238E27FC236}">
              <a16:creationId xmlns:a16="http://schemas.microsoft.com/office/drawing/2014/main" id="{169068D9-A97D-8F96-1BFC-5E31449470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220265</xdr:colOff>
      <xdr:row>0</xdr:row>
      <xdr:rowOff>71438</xdr:rowOff>
    </xdr:from>
    <xdr:to>
      <xdr:col>27</xdr:col>
      <xdr:colOff>77389</xdr:colOff>
      <xdr:row>13</xdr:row>
      <xdr:rowOff>160735</xdr:rowOff>
    </xdr:to>
    <xdr:graphicFrame macro="">
      <xdr:nvGraphicFramePr>
        <xdr:cNvPr id="4" name="Chart 3">
          <a:extLst>
            <a:ext uri="{FF2B5EF4-FFF2-40B4-BE49-F238E27FC236}">
              <a16:creationId xmlns:a16="http://schemas.microsoft.com/office/drawing/2014/main" id="{79FAA127-AED8-69BD-E395-732674B025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744139</xdr:colOff>
      <xdr:row>52</xdr:row>
      <xdr:rowOff>53579</xdr:rowOff>
    </xdr:from>
    <xdr:to>
      <xdr:col>12</xdr:col>
      <xdr:colOff>258960</xdr:colOff>
      <xdr:row>66</xdr:row>
      <xdr:rowOff>35719</xdr:rowOff>
    </xdr:to>
    <xdr:graphicFrame macro="">
      <xdr:nvGraphicFramePr>
        <xdr:cNvPr id="5" name="Chart 4">
          <a:extLst>
            <a:ext uri="{FF2B5EF4-FFF2-40B4-BE49-F238E27FC236}">
              <a16:creationId xmlns:a16="http://schemas.microsoft.com/office/drawing/2014/main" id="{8FDABFC4-6E7F-34A7-596C-9507801A11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122038</xdr:colOff>
      <xdr:row>69</xdr:row>
      <xdr:rowOff>95843</xdr:rowOff>
    </xdr:from>
    <xdr:to>
      <xdr:col>19</xdr:col>
      <xdr:colOff>11905</xdr:colOff>
      <xdr:row>91</xdr:row>
      <xdr:rowOff>107156</xdr:rowOff>
    </xdr:to>
    <xdr:graphicFrame macro="">
      <xdr:nvGraphicFramePr>
        <xdr:cNvPr id="6" name="Chart 5">
          <a:extLst>
            <a:ext uri="{FF2B5EF4-FFF2-40B4-BE49-F238E27FC236}">
              <a16:creationId xmlns:a16="http://schemas.microsoft.com/office/drawing/2014/main" id="{D9C2E8F4-1B10-7EC8-1124-9BF860A46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392906</xdr:colOff>
      <xdr:row>1</xdr:row>
      <xdr:rowOff>65486</xdr:rowOff>
    </xdr:from>
    <xdr:to>
      <xdr:col>11</xdr:col>
      <xdr:colOff>1339453</xdr:colOff>
      <xdr:row>21</xdr:row>
      <xdr:rowOff>167881</xdr:rowOff>
    </xdr:to>
    <xdr:graphicFrame macro="">
      <xdr:nvGraphicFramePr>
        <xdr:cNvPr id="2" name="Chart 1">
          <a:extLst>
            <a:ext uri="{FF2B5EF4-FFF2-40B4-BE49-F238E27FC236}">
              <a16:creationId xmlns:a16="http://schemas.microsoft.com/office/drawing/2014/main" id="{879D393E-EAA0-AB7E-1CB7-5E0AAE3106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193476</xdr:colOff>
      <xdr:row>24</xdr:row>
      <xdr:rowOff>137516</xdr:rowOff>
    </xdr:from>
    <xdr:to>
      <xdr:col>8</xdr:col>
      <xdr:colOff>973335</xdr:colOff>
      <xdr:row>38</xdr:row>
      <xdr:rowOff>47028</xdr:rowOff>
    </xdr:to>
    <xdr:graphicFrame macro="">
      <xdr:nvGraphicFramePr>
        <xdr:cNvPr id="3" name="Chart 2">
          <a:extLst>
            <a:ext uri="{FF2B5EF4-FFF2-40B4-BE49-F238E27FC236}">
              <a16:creationId xmlns:a16="http://schemas.microsoft.com/office/drawing/2014/main" id="{DC4A5019-8048-C118-56AE-27EED6796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17859</xdr:colOff>
      <xdr:row>5</xdr:row>
      <xdr:rowOff>-1</xdr:rowOff>
    </xdr:from>
    <xdr:to>
      <xdr:col>11</xdr:col>
      <xdr:colOff>0</xdr:colOff>
      <xdr:row>18</xdr:row>
      <xdr:rowOff>197303</xdr:rowOff>
    </xdr:to>
    <xdr:graphicFrame macro="">
      <xdr:nvGraphicFramePr>
        <xdr:cNvPr id="4" name="Chart 3">
          <a:extLst>
            <a:ext uri="{FF2B5EF4-FFF2-40B4-BE49-F238E27FC236}">
              <a16:creationId xmlns:a16="http://schemas.microsoft.com/office/drawing/2014/main" id="{8B02073C-62D8-4289-AD0D-805DDCBF5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666749</xdr:colOff>
      <xdr:row>0</xdr:row>
      <xdr:rowOff>0</xdr:rowOff>
    </xdr:from>
    <xdr:to>
      <xdr:col>19</xdr:col>
      <xdr:colOff>687159</xdr:colOff>
      <xdr:row>4</xdr:row>
      <xdr:rowOff>136921</xdr:rowOff>
    </xdr:to>
    <xdr:sp macro="" textlink="">
      <xdr:nvSpPr>
        <xdr:cNvPr id="5" name="TextBox 4">
          <a:extLst>
            <a:ext uri="{FF2B5EF4-FFF2-40B4-BE49-F238E27FC236}">
              <a16:creationId xmlns:a16="http://schemas.microsoft.com/office/drawing/2014/main" id="{E919249E-CEE4-5D80-607B-50763E1ACD3A}"/>
            </a:ext>
          </a:extLst>
        </xdr:cNvPr>
        <xdr:cNvSpPr txBox="1"/>
      </xdr:nvSpPr>
      <xdr:spPr>
        <a:xfrm>
          <a:off x="2041070" y="0"/>
          <a:ext cx="11702143" cy="926135"/>
        </a:xfrm>
        <a:prstGeom prst="rect">
          <a:avLst/>
        </a:prstGeom>
        <a:gradFill flip="none" rotWithShape="1">
          <a:gsLst>
            <a:gs pos="0">
              <a:schemeClr val="accent2">
                <a:lumMod val="89000"/>
              </a:schemeClr>
            </a:gs>
            <a:gs pos="23000">
              <a:schemeClr val="accent2">
                <a:lumMod val="89000"/>
              </a:schemeClr>
            </a:gs>
            <a:gs pos="69000">
              <a:schemeClr val="accent2">
                <a:lumMod val="75000"/>
              </a:schemeClr>
            </a:gs>
            <a:gs pos="97000">
              <a:schemeClr val="accent2">
                <a:lumMod val="70000"/>
              </a:schemeClr>
            </a:gs>
          </a:gsLst>
          <a:path path="circle">
            <a:fillToRect l="50000" t="50000" r="50000" b="50000"/>
          </a:path>
          <a:tileRect/>
        </a:gra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4000" b="1">
              <a:gradFill>
                <a:gsLst>
                  <a:gs pos="0">
                    <a:schemeClr val="bg1"/>
                  </a:gs>
                  <a:gs pos="100000">
                    <a:schemeClr val="bg2"/>
                  </a:gs>
                </a:gsLst>
                <a:lin ang="5400000" scaled="1"/>
              </a:gradFill>
              <a:effectLst>
                <a:outerShdw blurRad="50800" dist="50800" dir="5400000" algn="ctr" rotWithShape="0">
                  <a:srgbClr val="000000">
                    <a:alpha val="96000"/>
                  </a:srgbClr>
                </a:outerShdw>
              </a:effectLst>
              <a:latin typeface="+mj-lt"/>
            </a:rPr>
            <a:t>Mental</a:t>
          </a:r>
          <a:r>
            <a:rPr lang="en-US" sz="4000" b="1" baseline="0">
              <a:gradFill>
                <a:gsLst>
                  <a:gs pos="0">
                    <a:schemeClr val="bg1"/>
                  </a:gs>
                  <a:gs pos="100000">
                    <a:schemeClr val="bg2"/>
                  </a:gs>
                </a:gsLst>
                <a:lin ang="5400000" scaled="1"/>
              </a:gradFill>
              <a:effectLst>
                <a:outerShdw blurRad="50800" dist="50800" dir="5400000" algn="ctr" rotWithShape="0">
                  <a:srgbClr val="000000">
                    <a:alpha val="96000"/>
                  </a:srgbClr>
                </a:outerShdw>
              </a:effectLst>
              <a:latin typeface="+mj-lt"/>
            </a:rPr>
            <a:t> Health &amp; Social Media Impact</a:t>
          </a:r>
        </a:p>
      </xdr:txBody>
    </xdr:sp>
    <xdr:clientData/>
  </xdr:twoCellAnchor>
  <xdr:twoCellAnchor>
    <xdr:from>
      <xdr:col>0</xdr:col>
      <xdr:colOff>17859</xdr:colOff>
      <xdr:row>0</xdr:row>
      <xdr:rowOff>0</xdr:rowOff>
    </xdr:from>
    <xdr:to>
      <xdr:col>2</xdr:col>
      <xdr:colOff>672703</xdr:colOff>
      <xdr:row>33</xdr:row>
      <xdr:rowOff>0</xdr:rowOff>
    </xdr:to>
    <xdr:sp macro="" textlink="">
      <xdr:nvSpPr>
        <xdr:cNvPr id="6" name="Rectangle 5">
          <a:extLst>
            <a:ext uri="{FF2B5EF4-FFF2-40B4-BE49-F238E27FC236}">
              <a16:creationId xmlns:a16="http://schemas.microsoft.com/office/drawing/2014/main" id="{576D37BE-AD90-A3FD-67E8-B077F8AF06E5}"/>
            </a:ext>
          </a:extLst>
        </xdr:cNvPr>
        <xdr:cNvSpPr/>
      </xdr:nvSpPr>
      <xdr:spPr>
        <a:xfrm>
          <a:off x="17859" y="0"/>
          <a:ext cx="2029165" cy="6511019"/>
        </a:xfrm>
        <a:prstGeom prst="rect">
          <a:avLst/>
        </a:prstGeom>
        <a:solidFill>
          <a:schemeClr val="accent2">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25513</xdr:colOff>
      <xdr:row>5</xdr:row>
      <xdr:rowOff>-1</xdr:rowOff>
    </xdr:from>
    <xdr:to>
      <xdr:col>19</xdr:col>
      <xdr:colOff>680357</xdr:colOff>
      <xdr:row>18</xdr:row>
      <xdr:rowOff>197303</xdr:rowOff>
    </xdr:to>
    <xdr:graphicFrame macro="">
      <xdr:nvGraphicFramePr>
        <xdr:cNvPr id="7" name="Chart 6">
          <a:extLst>
            <a:ext uri="{FF2B5EF4-FFF2-40B4-BE49-F238E27FC236}">
              <a16:creationId xmlns:a16="http://schemas.microsoft.com/office/drawing/2014/main" id="{1EAC8C03-B097-42EE-953F-BEA007183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17859</xdr:colOff>
      <xdr:row>19</xdr:row>
      <xdr:rowOff>54427</xdr:rowOff>
    </xdr:from>
    <xdr:to>
      <xdr:col>12</xdr:col>
      <xdr:colOff>107156</xdr:colOff>
      <xdr:row>33</xdr:row>
      <xdr:rowOff>0</xdr:rowOff>
    </xdr:to>
    <xdr:graphicFrame macro="">
      <xdr:nvGraphicFramePr>
        <xdr:cNvPr id="9" name="Chart 8">
          <a:extLst>
            <a:ext uri="{FF2B5EF4-FFF2-40B4-BE49-F238E27FC236}">
              <a16:creationId xmlns:a16="http://schemas.microsoft.com/office/drawing/2014/main" id="{5ECB60EC-681F-4BCA-81FC-4F8BC034E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122464</xdr:colOff>
      <xdr:row>19</xdr:row>
      <xdr:rowOff>54427</xdr:rowOff>
    </xdr:from>
    <xdr:to>
      <xdr:col>19</xdr:col>
      <xdr:colOff>680357</xdr:colOff>
      <xdr:row>33</xdr:row>
      <xdr:rowOff>0</xdr:rowOff>
    </xdr:to>
    <xdr:graphicFrame macro="">
      <xdr:nvGraphicFramePr>
        <xdr:cNvPr id="2" name="Chart 1">
          <a:extLst>
            <a:ext uri="{FF2B5EF4-FFF2-40B4-BE49-F238E27FC236}">
              <a16:creationId xmlns:a16="http://schemas.microsoft.com/office/drawing/2014/main" id="{D9E94658-21F8-492B-9A36-6B48891D2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97971</xdr:colOff>
      <xdr:row>15</xdr:row>
      <xdr:rowOff>139813</xdr:rowOff>
    </xdr:from>
    <xdr:to>
      <xdr:col>2</xdr:col>
      <xdr:colOff>552450</xdr:colOff>
      <xdr:row>24</xdr:row>
      <xdr:rowOff>33676</xdr:rowOff>
    </xdr:to>
    <mc:AlternateContent xmlns:mc="http://schemas.openxmlformats.org/markup-compatibility/2006" xmlns:a14="http://schemas.microsoft.com/office/drawing/2010/main">
      <mc:Choice Requires="a14">
        <xdr:graphicFrame macro="">
          <xdr:nvGraphicFramePr>
            <xdr:cNvPr id="3" name="Age Groups">
              <a:extLst>
                <a:ext uri="{FF2B5EF4-FFF2-40B4-BE49-F238E27FC236}">
                  <a16:creationId xmlns:a16="http://schemas.microsoft.com/office/drawing/2014/main" id="{983285A2-527E-5D21-0D79-272BAC730C9D}"/>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97971" y="3099367"/>
              <a:ext cx="1828800" cy="16695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97971</xdr:colOff>
      <xdr:row>10</xdr:row>
      <xdr:rowOff>64635</xdr:rowOff>
    </xdr:from>
    <xdr:to>
      <xdr:col>2</xdr:col>
      <xdr:colOff>552450</xdr:colOff>
      <xdr:row>15</xdr:row>
      <xdr:rowOff>95251</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FDE90070-77B3-FA59-62D3-80D17FB749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971" y="2037671"/>
              <a:ext cx="1828800" cy="1017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97971</xdr:colOff>
      <xdr:row>24</xdr:row>
      <xdr:rowOff>78239</xdr:rowOff>
    </xdr:from>
    <xdr:to>
      <xdr:col>2</xdr:col>
      <xdr:colOff>552450</xdr:colOff>
      <xdr:row>32</xdr:row>
      <xdr:rowOff>115660</xdr:rowOff>
    </xdr:to>
    <mc:AlternateContent xmlns:mc="http://schemas.openxmlformats.org/markup-compatibility/2006" xmlns:a14="http://schemas.microsoft.com/office/drawing/2010/main">
      <mc:Choice Requires="a14">
        <xdr:graphicFrame macro="">
          <xdr:nvGraphicFramePr>
            <xdr:cNvPr id="10" name="Screen_Time_Groups">
              <a:extLst>
                <a:ext uri="{FF2B5EF4-FFF2-40B4-BE49-F238E27FC236}">
                  <a16:creationId xmlns:a16="http://schemas.microsoft.com/office/drawing/2014/main" id="{DB1C2D14-ACFE-BDF1-0D17-920AE830853E}"/>
                </a:ext>
              </a:extLst>
            </xdr:cNvPr>
            <xdr:cNvGraphicFramePr/>
          </xdr:nvGraphicFramePr>
          <xdr:xfrm>
            <a:off x="0" y="0"/>
            <a:ext cx="0" cy="0"/>
          </xdr:xfrm>
          <a:graphic>
            <a:graphicData uri="http://schemas.microsoft.com/office/drawing/2010/slicer">
              <sle:slicer xmlns:sle="http://schemas.microsoft.com/office/drawing/2010/slicer" name="Screen_Time_Groups"/>
            </a:graphicData>
          </a:graphic>
        </xdr:graphicFrame>
      </mc:Choice>
      <mc:Fallback xmlns="">
        <xdr:sp macro="" textlink="">
          <xdr:nvSpPr>
            <xdr:cNvPr id="0" name=""/>
            <xdr:cNvSpPr>
              <a:spLocks noTextEdit="1"/>
            </xdr:cNvSpPr>
          </xdr:nvSpPr>
          <xdr:spPr>
            <a:xfrm>
              <a:off x="97971" y="4813525"/>
              <a:ext cx="1828800" cy="1615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17859</xdr:colOff>
      <xdr:row>0</xdr:row>
      <xdr:rowOff>1</xdr:rowOff>
    </xdr:from>
    <xdr:to>
      <xdr:col>2</xdr:col>
      <xdr:colOff>656626</xdr:colOff>
      <xdr:row>10</xdr:row>
      <xdr:rowOff>64635</xdr:rowOff>
    </xdr:to>
    <xdr:pic>
      <xdr:nvPicPr>
        <xdr:cNvPr id="17" name="Picture 16">
          <a:extLst>
            <a:ext uri="{FF2B5EF4-FFF2-40B4-BE49-F238E27FC236}">
              <a16:creationId xmlns:a16="http://schemas.microsoft.com/office/drawing/2014/main" id="{728DA25A-86D4-F9CE-19B4-DB60B296BBD0}"/>
            </a:ext>
          </a:extLst>
        </xdr:cNvPr>
        <xdr:cNvPicPr>
          <a:picLocks noChangeAspect="1"/>
        </xdr:cNvPicPr>
      </xdr:nvPicPr>
      <xdr:blipFill rotWithShape="1">
        <a:blip xmlns:r="http://schemas.openxmlformats.org/officeDocument/2006/relationships" r:embed="rId5" cstate="print">
          <a:extLst>
            <a:ext uri="{BEBA8EAE-BF5A-486C-A8C5-ECC9F3942E4B}">
              <a14:imgProps xmlns:a14="http://schemas.microsoft.com/office/drawing/2010/main">
                <a14:imgLayer r:embed="rId6">
                  <a14:imgEffect>
                    <a14:backgroundRemoval t="5125" b="57375" l="10000" r="90000">
                      <a14:foregroundMark x1="40500" y1="6750" x2="46389" y2="5850"/>
                      <a14:foregroundMark x1="52438" y1="7094" x2="52875" y2="7750"/>
                      <a14:foregroundMark x1="37875" y1="56375" x2="38000" y2="57375"/>
                      <a14:foregroundMark x1="46375" y1="5625" x2="54250" y2="7000"/>
                      <a14:foregroundMark x1="43625" y1="6750" x2="48000" y2="6125"/>
                      <a14:foregroundMark x1="44500" y1="6375" x2="49250" y2="6750"/>
                      <a14:foregroundMark x1="45375" y1="5750" x2="47625" y2="6125"/>
                    </a14:backgroundRemoval>
                  </a14:imgEffect>
                </a14:imgLayer>
              </a14:imgProps>
            </a:ext>
            <a:ext uri="{28A0092B-C50C-407E-A947-70E740481C1C}">
              <a14:useLocalDpi xmlns:a14="http://schemas.microsoft.com/office/drawing/2010/main" val="0"/>
            </a:ext>
          </a:extLst>
        </a:blip>
        <a:srcRect l="19822" t="4374" r="22314" b="37054"/>
        <a:stretch>
          <a:fillRect/>
        </a:stretch>
      </xdr:blipFill>
      <xdr:spPr>
        <a:xfrm>
          <a:off x="17859" y="1"/>
          <a:ext cx="2013088" cy="20376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lymchuk Dmytriy" refreshedDate="46003.614225115743" createdVersion="8" refreshedVersion="8" minRefreshableVersion="3" recordCount="477" xr:uid="{46F8AE8D-68C7-4ADB-B774-BE3F00BF1006}">
  <cacheSource type="worksheet">
    <worksheetSource name="Table1"/>
  </cacheSource>
  <cacheFields count="13">
    <cacheField name="User_ID" numFmtId="0">
      <sharedItems/>
    </cacheField>
    <cacheField name="Age" numFmtId="1">
      <sharedItems containsSemiMixedTypes="0" containsString="0" containsNumber="1" containsInteger="1" minValue="16" maxValue="49"/>
    </cacheField>
    <cacheField name="Age_Groups" numFmtId="1">
      <sharedItems count="4">
        <s v="Youth (16–24)"/>
        <s v="Middle-aged (45–54)"/>
        <s v="Young Adults (25–34)"/>
        <s v="Adults (35–44)"/>
      </sharedItems>
    </cacheField>
    <cacheField name="Gender" numFmtId="0">
      <sharedItems count="2">
        <s v="Male"/>
        <s v="Female"/>
      </sharedItems>
    </cacheField>
    <cacheField name="Daily_Screen_Time(hrs)" numFmtId="164">
      <sharedItems containsSemiMixedTypes="0" containsString="0" containsNumber="1" minValue="1" maxValue="10.8"/>
    </cacheField>
    <cacheField name="Screen_Time_Groups" numFmtId="164">
      <sharedItems count="4">
        <s v="Very High (8+ hrs)"/>
        <s v="High (6–8 hrs)"/>
        <s v="Moderate (3–6 hrs)"/>
        <s v="Low (0–3 hrs)"/>
      </sharedItems>
    </cacheField>
    <cacheField name="Sleep_Quality(1-10)" numFmtId="1">
      <sharedItems containsSemiMixedTypes="0" containsString="0" containsNumber="1" containsInteger="1" minValue="2" maxValue="10"/>
    </cacheField>
    <cacheField name="Stress_Level(1-10)" numFmtId="1">
      <sharedItems containsSemiMixedTypes="0" containsString="0" containsNumber="1" containsInteger="1" minValue="2" maxValue="10"/>
    </cacheField>
    <cacheField name="Days_Without_Social_Media" numFmtId="1">
      <sharedItems containsSemiMixedTypes="0" containsString="0" containsNumber="1" containsInteger="1" minValue="0" maxValue="9"/>
    </cacheField>
    <cacheField name="Exercise_Frequency(week)" numFmtId="1">
      <sharedItems containsSemiMixedTypes="0" containsString="0" containsNumber="1" containsInteger="1" minValue="0" maxValue="7"/>
    </cacheField>
    <cacheField name="Exercise_Frequency_Groups" numFmtId="1">
      <sharedItems count="3">
        <s v="Intermediate (3–4 days)"/>
        <s v="Beginners (0–2 days)"/>
        <s v="Advanced (5–7 days)"/>
      </sharedItems>
    </cacheField>
    <cacheField name="Social_Media_Platform" numFmtId="0">
      <sharedItems count="6">
        <s v="TikTok"/>
        <s v="Instagram"/>
        <s v="Facebook"/>
        <s v="YouTube"/>
        <s v="LinkedIn"/>
        <s v="X (Twitter)"/>
      </sharedItems>
    </cacheField>
    <cacheField name="Happiness_Index(1-10)" numFmtId="1">
      <sharedItems containsSemiMixedTypes="0" containsString="0" containsNumber="1" containsInteger="1" minValue="4" maxValue="10"/>
    </cacheField>
  </cacheFields>
  <extLst>
    <ext xmlns:x14="http://schemas.microsoft.com/office/spreadsheetml/2009/9/main" uri="{725AE2AE-9491-48be-B2B4-4EB974FC3084}">
      <x14:pivotCacheDefinition pivotCacheId="8733179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lymchuk Dmytriy" refreshedDate="46003.614225694444" createdVersion="8" refreshedVersion="8" minRefreshableVersion="3" recordCount="477" xr:uid="{57BBF9F7-E66E-4E4B-B247-113C722C0AD6}">
  <cacheSource type="worksheet">
    <worksheetSource ref="A1:M478" sheet="Working Sheet"/>
  </cacheSource>
  <cacheFields count="13">
    <cacheField name="User_ID" numFmtId="0">
      <sharedItems/>
    </cacheField>
    <cacheField name="Age" numFmtId="1">
      <sharedItems containsSemiMixedTypes="0" containsString="0" containsNumber="1" containsInteger="1" minValue="16" maxValue="49"/>
    </cacheField>
    <cacheField name="Age_Groups" numFmtId="1">
      <sharedItems count="4">
        <s v="Youth (16–24)"/>
        <s v="Middle-aged (45–54)"/>
        <s v="Young Adults (25–34)"/>
        <s v="Adults (35–44)"/>
      </sharedItems>
    </cacheField>
    <cacheField name="Gender" numFmtId="0">
      <sharedItems count="2">
        <s v="Male"/>
        <s v="Female"/>
      </sharedItems>
    </cacheField>
    <cacheField name="Daily_Screen_Time(hrs)" numFmtId="164">
      <sharedItems containsSemiMixedTypes="0" containsString="0" containsNumber="1" minValue="1" maxValue="10.8"/>
    </cacheField>
    <cacheField name="Screen_Time_Groups" numFmtId="164">
      <sharedItems count="4">
        <s v="Very High (8+ hrs)"/>
        <s v="High (6–8 hrs)"/>
        <s v="Moderate (3–6 hrs)"/>
        <s v="Low (0–3 hrs)"/>
      </sharedItems>
    </cacheField>
    <cacheField name="Sleep_Quality(1-10)" numFmtId="1">
      <sharedItems containsSemiMixedTypes="0" containsString="0" containsNumber="1" containsInteger="1" minValue="2" maxValue="10"/>
    </cacheField>
    <cacheField name="Stress_Level(1-10)" numFmtId="1">
      <sharedItems containsSemiMixedTypes="0" containsString="0" containsNumber="1" containsInteger="1" minValue="2" maxValue="10"/>
    </cacheField>
    <cacheField name="Days_Without_Social_Media" numFmtId="1">
      <sharedItems containsSemiMixedTypes="0" containsString="0" containsNumber="1" containsInteger="1" minValue="0" maxValue="9"/>
    </cacheField>
    <cacheField name="Exercise_Frequency(week)" numFmtId="1">
      <sharedItems containsSemiMixedTypes="0" containsString="0" containsNumber="1" containsInteger="1" minValue="0" maxValue="7"/>
    </cacheField>
    <cacheField name="Exercise_Frequency_Groups" numFmtId="1">
      <sharedItems/>
    </cacheField>
    <cacheField name="Social_Media_Platform" numFmtId="0">
      <sharedItems count="6">
        <s v="TikTok"/>
        <s v="Instagram"/>
        <s v="Facebook"/>
        <s v="YouTube"/>
        <s v="LinkedIn"/>
        <s v="X (Twitter)"/>
      </sharedItems>
    </cacheField>
    <cacheField name="Happiness_Index(1-10)" numFmtId="1">
      <sharedItems containsSemiMixedTypes="0" containsString="0" containsNumber="1" containsInteger="1" minValue="4" maxValue="10"/>
    </cacheField>
  </cacheFields>
  <extLst>
    <ext xmlns:x14="http://schemas.microsoft.com/office/spreadsheetml/2009/9/main" uri="{725AE2AE-9491-48be-B2B4-4EB974FC3084}">
      <x14:pivotCacheDefinition pivotCacheId="7065308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7">
  <r>
    <s v="U264"/>
    <n v="17"/>
    <x v="0"/>
    <x v="0"/>
    <n v="9.1"/>
    <x v="0"/>
    <n v="4"/>
    <n v="9"/>
    <n v="7"/>
    <n v="4"/>
    <x v="0"/>
    <x v="0"/>
    <n v="4"/>
  </r>
  <r>
    <s v="U249"/>
    <n v="46"/>
    <x v="1"/>
    <x v="1"/>
    <n v="10.8"/>
    <x v="0"/>
    <n v="5"/>
    <n v="10"/>
    <n v="2"/>
    <n v="3"/>
    <x v="0"/>
    <x v="1"/>
    <n v="4"/>
  </r>
  <r>
    <s v="U480"/>
    <n v="29"/>
    <x v="2"/>
    <x v="1"/>
    <n v="9"/>
    <x v="0"/>
    <n v="4"/>
    <n v="10"/>
    <n v="3"/>
    <n v="3"/>
    <x v="0"/>
    <x v="0"/>
    <n v="4"/>
  </r>
  <r>
    <s v="U057"/>
    <n v="38"/>
    <x v="3"/>
    <x v="1"/>
    <n v="9.6999999999999993"/>
    <x v="0"/>
    <n v="3"/>
    <n v="9"/>
    <n v="3"/>
    <n v="2"/>
    <x v="1"/>
    <x v="2"/>
    <n v="4"/>
  </r>
  <r>
    <s v="U203"/>
    <n v="48"/>
    <x v="1"/>
    <x v="1"/>
    <n v="10"/>
    <x v="0"/>
    <n v="3"/>
    <n v="10"/>
    <n v="3"/>
    <n v="2"/>
    <x v="1"/>
    <x v="0"/>
    <n v="4"/>
  </r>
  <r>
    <s v="U441"/>
    <n v="17"/>
    <x v="0"/>
    <x v="1"/>
    <n v="9.5"/>
    <x v="0"/>
    <n v="4"/>
    <n v="9"/>
    <n v="2"/>
    <n v="2"/>
    <x v="1"/>
    <x v="3"/>
    <n v="4"/>
  </r>
  <r>
    <s v="U482"/>
    <n v="46"/>
    <x v="1"/>
    <x v="1"/>
    <n v="8.6"/>
    <x v="0"/>
    <n v="4"/>
    <n v="8"/>
    <n v="2"/>
    <n v="2"/>
    <x v="1"/>
    <x v="3"/>
    <n v="4"/>
  </r>
  <r>
    <s v="U236"/>
    <n v="48"/>
    <x v="1"/>
    <x v="1"/>
    <n v="7.5"/>
    <x v="1"/>
    <n v="4"/>
    <n v="9"/>
    <n v="4"/>
    <n v="5"/>
    <x v="2"/>
    <x v="3"/>
    <n v="5"/>
  </r>
  <r>
    <s v="U160"/>
    <n v="20"/>
    <x v="0"/>
    <x v="0"/>
    <n v="7.9"/>
    <x v="1"/>
    <n v="5"/>
    <n v="9"/>
    <n v="2"/>
    <n v="4"/>
    <x v="0"/>
    <x v="1"/>
    <n v="5"/>
  </r>
  <r>
    <s v="U185"/>
    <n v="40"/>
    <x v="3"/>
    <x v="0"/>
    <n v="7.7"/>
    <x v="1"/>
    <n v="3"/>
    <n v="9"/>
    <n v="0"/>
    <n v="4"/>
    <x v="0"/>
    <x v="1"/>
    <n v="5"/>
  </r>
  <r>
    <s v="U225"/>
    <n v="48"/>
    <x v="1"/>
    <x v="0"/>
    <n v="7.3"/>
    <x v="1"/>
    <n v="5"/>
    <n v="9"/>
    <n v="4"/>
    <n v="4"/>
    <x v="0"/>
    <x v="1"/>
    <n v="5"/>
  </r>
  <r>
    <s v="U473"/>
    <n v="36"/>
    <x v="3"/>
    <x v="1"/>
    <n v="7.4"/>
    <x v="1"/>
    <n v="3"/>
    <n v="8"/>
    <n v="5"/>
    <n v="4"/>
    <x v="0"/>
    <x v="2"/>
    <n v="5"/>
  </r>
  <r>
    <s v="U065"/>
    <n v="30"/>
    <x v="2"/>
    <x v="0"/>
    <n v="6.5"/>
    <x v="1"/>
    <n v="4"/>
    <n v="9"/>
    <n v="4"/>
    <n v="3"/>
    <x v="0"/>
    <x v="0"/>
    <n v="5"/>
  </r>
  <r>
    <s v="U071"/>
    <n v="16"/>
    <x v="0"/>
    <x v="0"/>
    <n v="6.9"/>
    <x v="1"/>
    <n v="5"/>
    <n v="8"/>
    <n v="3"/>
    <n v="3"/>
    <x v="0"/>
    <x v="3"/>
    <n v="5"/>
  </r>
  <r>
    <s v="U152"/>
    <n v="41"/>
    <x v="3"/>
    <x v="1"/>
    <n v="7.4"/>
    <x v="1"/>
    <n v="4"/>
    <n v="9"/>
    <n v="6"/>
    <n v="3"/>
    <x v="0"/>
    <x v="3"/>
    <n v="5"/>
  </r>
  <r>
    <s v="U242"/>
    <n v="32"/>
    <x v="2"/>
    <x v="0"/>
    <n v="9.4"/>
    <x v="0"/>
    <n v="3"/>
    <n v="9"/>
    <n v="2"/>
    <n v="3"/>
    <x v="0"/>
    <x v="1"/>
    <n v="5"/>
  </r>
  <r>
    <s v="U256"/>
    <n v="33"/>
    <x v="2"/>
    <x v="1"/>
    <n v="5.9"/>
    <x v="2"/>
    <n v="4"/>
    <n v="7"/>
    <n v="0"/>
    <n v="3"/>
    <x v="0"/>
    <x v="4"/>
    <n v="5"/>
  </r>
  <r>
    <s v="U275"/>
    <n v="28"/>
    <x v="2"/>
    <x v="1"/>
    <n v="6.2"/>
    <x v="1"/>
    <n v="3"/>
    <n v="8"/>
    <n v="0"/>
    <n v="3"/>
    <x v="0"/>
    <x v="0"/>
    <n v="5"/>
  </r>
  <r>
    <s v="U282"/>
    <n v="27"/>
    <x v="2"/>
    <x v="1"/>
    <n v="7.4"/>
    <x v="1"/>
    <n v="4"/>
    <n v="9"/>
    <n v="5"/>
    <n v="3"/>
    <x v="0"/>
    <x v="2"/>
    <n v="5"/>
  </r>
  <r>
    <s v="U464"/>
    <n v="23"/>
    <x v="0"/>
    <x v="0"/>
    <n v="6.5"/>
    <x v="1"/>
    <n v="5"/>
    <n v="10"/>
    <n v="5"/>
    <n v="3"/>
    <x v="0"/>
    <x v="4"/>
    <n v="5"/>
  </r>
  <r>
    <s v="U326"/>
    <n v="27"/>
    <x v="2"/>
    <x v="0"/>
    <n v="10.8"/>
    <x v="0"/>
    <n v="2"/>
    <n v="9"/>
    <n v="3"/>
    <n v="2"/>
    <x v="1"/>
    <x v="5"/>
    <n v="5"/>
  </r>
  <r>
    <s v="U077"/>
    <n v="48"/>
    <x v="1"/>
    <x v="1"/>
    <n v="9.6999999999999993"/>
    <x v="0"/>
    <n v="4"/>
    <n v="8"/>
    <n v="5"/>
    <n v="1"/>
    <x v="1"/>
    <x v="4"/>
    <n v="5"/>
  </r>
  <r>
    <s v="U298"/>
    <n v="20"/>
    <x v="0"/>
    <x v="0"/>
    <n v="7.7"/>
    <x v="1"/>
    <n v="4"/>
    <n v="8"/>
    <n v="5"/>
    <n v="0"/>
    <x v="1"/>
    <x v="3"/>
    <n v="5"/>
  </r>
  <r>
    <s v="U089"/>
    <n v="42"/>
    <x v="3"/>
    <x v="0"/>
    <n v="7.1"/>
    <x v="1"/>
    <n v="3"/>
    <n v="8"/>
    <n v="6"/>
    <n v="5"/>
    <x v="2"/>
    <x v="1"/>
    <n v="6"/>
  </r>
  <r>
    <s v="U305"/>
    <n v="45"/>
    <x v="1"/>
    <x v="0"/>
    <n v="7.7"/>
    <x v="1"/>
    <n v="6"/>
    <n v="9"/>
    <n v="2"/>
    <n v="5"/>
    <x v="2"/>
    <x v="0"/>
    <n v="6"/>
  </r>
  <r>
    <s v="U098"/>
    <n v="24"/>
    <x v="0"/>
    <x v="1"/>
    <n v="6.1"/>
    <x v="1"/>
    <n v="4"/>
    <n v="9"/>
    <n v="0"/>
    <n v="4"/>
    <x v="0"/>
    <x v="2"/>
    <n v="6"/>
  </r>
  <r>
    <s v="U363"/>
    <n v="27"/>
    <x v="2"/>
    <x v="0"/>
    <n v="7.8"/>
    <x v="1"/>
    <n v="5"/>
    <n v="8"/>
    <n v="0"/>
    <n v="4"/>
    <x v="0"/>
    <x v="0"/>
    <n v="6"/>
  </r>
  <r>
    <s v="U181"/>
    <n v="33"/>
    <x v="2"/>
    <x v="0"/>
    <n v="6.3"/>
    <x v="1"/>
    <n v="6"/>
    <n v="8"/>
    <n v="7"/>
    <n v="3"/>
    <x v="0"/>
    <x v="5"/>
    <n v="6"/>
  </r>
  <r>
    <s v="U204"/>
    <n v="39"/>
    <x v="3"/>
    <x v="1"/>
    <n v="4.5999999999999996"/>
    <x v="2"/>
    <n v="6"/>
    <n v="7"/>
    <n v="3"/>
    <n v="3"/>
    <x v="0"/>
    <x v="0"/>
    <n v="6"/>
  </r>
  <r>
    <s v="U273"/>
    <n v="40"/>
    <x v="3"/>
    <x v="1"/>
    <n v="8"/>
    <x v="0"/>
    <n v="5"/>
    <n v="8"/>
    <n v="3"/>
    <n v="3"/>
    <x v="0"/>
    <x v="0"/>
    <n v="6"/>
  </r>
  <r>
    <s v="U377"/>
    <n v="32"/>
    <x v="2"/>
    <x v="0"/>
    <n v="7.5"/>
    <x v="1"/>
    <n v="4"/>
    <n v="7"/>
    <n v="2"/>
    <n v="3"/>
    <x v="0"/>
    <x v="1"/>
    <n v="6"/>
  </r>
  <r>
    <s v="U413"/>
    <n v="24"/>
    <x v="0"/>
    <x v="0"/>
    <n v="8.8000000000000007"/>
    <x v="0"/>
    <n v="5"/>
    <n v="9"/>
    <n v="0"/>
    <n v="3"/>
    <x v="0"/>
    <x v="3"/>
    <n v="6"/>
  </r>
  <r>
    <s v="U443"/>
    <n v="44"/>
    <x v="3"/>
    <x v="1"/>
    <n v="6.4"/>
    <x v="1"/>
    <n v="5"/>
    <n v="6"/>
    <n v="5"/>
    <n v="3"/>
    <x v="0"/>
    <x v="3"/>
    <n v="6"/>
  </r>
  <r>
    <s v="U455"/>
    <n v="42"/>
    <x v="3"/>
    <x v="1"/>
    <n v="6.2"/>
    <x v="1"/>
    <n v="6"/>
    <n v="6"/>
    <n v="3"/>
    <n v="3"/>
    <x v="0"/>
    <x v="4"/>
    <n v="6"/>
  </r>
  <r>
    <s v="U491"/>
    <n v="31"/>
    <x v="2"/>
    <x v="0"/>
    <n v="7.9"/>
    <x v="1"/>
    <n v="5"/>
    <n v="8"/>
    <n v="2"/>
    <n v="3"/>
    <x v="0"/>
    <x v="2"/>
    <n v="6"/>
  </r>
  <r>
    <s v="U059"/>
    <n v="31"/>
    <x v="2"/>
    <x v="0"/>
    <n v="7.6"/>
    <x v="1"/>
    <n v="5"/>
    <n v="10"/>
    <n v="3"/>
    <n v="2"/>
    <x v="1"/>
    <x v="1"/>
    <n v="6"/>
  </r>
  <r>
    <s v="U078"/>
    <n v="20"/>
    <x v="0"/>
    <x v="1"/>
    <n v="7.2"/>
    <x v="1"/>
    <n v="6"/>
    <n v="9"/>
    <n v="1"/>
    <n v="2"/>
    <x v="1"/>
    <x v="1"/>
    <n v="6"/>
  </r>
  <r>
    <s v="U106"/>
    <n v="45"/>
    <x v="1"/>
    <x v="0"/>
    <n v="6.3"/>
    <x v="1"/>
    <n v="7"/>
    <n v="8"/>
    <n v="0"/>
    <n v="2"/>
    <x v="1"/>
    <x v="4"/>
    <n v="6"/>
  </r>
  <r>
    <s v="U112"/>
    <n v="22"/>
    <x v="0"/>
    <x v="1"/>
    <n v="8.3000000000000007"/>
    <x v="0"/>
    <n v="5"/>
    <n v="10"/>
    <n v="0"/>
    <n v="2"/>
    <x v="1"/>
    <x v="1"/>
    <n v="6"/>
  </r>
  <r>
    <s v="U189"/>
    <n v="22"/>
    <x v="0"/>
    <x v="1"/>
    <n v="6.2"/>
    <x v="1"/>
    <n v="6"/>
    <n v="9"/>
    <n v="2"/>
    <n v="2"/>
    <x v="1"/>
    <x v="0"/>
    <n v="6"/>
  </r>
  <r>
    <s v="U259"/>
    <n v="18"/>
    <x v="0"/>
    <x v="1"/>
    <n v="7.2"/>
    <x v="1"/>
    <n v="4"/>
    <n v="7"/>
    <n v="3"/>
    <n v="2"/>
    <x v="1"/>
    <x v="5"/>
    <n v="6"/>
  </r>
  <r>
    <s v="U289"/>
    <n v="38"/>
    <x v="3"/>
    <x v="1"/>
    <n v="7"/>
    <x v="1"/>
    <n v="4"/>
    <n v="8"/>
    <n v="3"/>
    <n v="2"/>
    <x v="1"/>
    <x v="1"/>
    <n v="6"/>
  </r>
  <r>
    <s v="U308"/>
    <n v="34"/>
    <x v="2"/>
    <x v="0"/>
    <n v="7.8"/>
    <x v="1"/>
    <n v="5"/>
    <n v="9"/>
    <n v="2"/>
    <n v="2"/>
    <x v="1"/>
    <x v="3"/>
    <n v="6"/>
  </r>
  <r>
    <s v="U333"/>
    <n v="20"/>
    <x v="0"/>
    <x v="0"/>
    <n v="7.4"/>
    <x v="1"/>
    <n v="4"/>
    <n v="9"/>
    <n v="4"/>
    <n v="2"/>
    <x v="1"/>
    <x v="1"/>
    <n v="6"/>
  </r>
  <r>
    <s v="U354"/>
    <n v="31"/>
    <x v="2"/>
    <x v="0"/>
    <n v="8.1"/>
    <x v="0"/>
    <n v="5"/>
    <n v="9"/>
    <n v="2"/>
    <n v="2"/>
    <x v="1"/>
    <x v="1"/>
    <n v="6"/>
  </r>
  <r>
    <s v="U389"/>
    <n v="40"/>
    <x v="3"/>
    <x v="0"/>
    <n v="9.6999999999999993"/>
    <x v="0"/>
    <n v="4"/>
    <n v="10"/>
    <n v="2"/>
    <n v="2"/>
    <x v="1"/>
    <x v="0"/>
    <n v="6"/>
  </r>
  <r>
    <s v="U460"/>
    <n v="28"/>
    <x v="2"/>
    <x v="1"/>
    <n v="7.5"/>
    <x v="1"/>
    <n v="6"/>
    <n v="8"/>
    <n v="3"/>
    <n v="2"/>
    <x v="1"/>
    <x v="2"/>
    <n v="6"/>
  </r>
  <r>
    <s v="U171"/>
    <n v="18"/>
    <x v="0"/>
    <x v="0"/>
    <n v="5.6"/>
    <x v="2"/>
    <n v="5"/>
    <n v="7"/>
    <n v="3"/>
    <n v="1"/>
    <x v="1"/>
    <x v="5"/>
    <n v="6"/>
  </r>
  <r>
    <s v="U198"/>
    <n v="34"/>
    <x v="2"/>
    <x v="0"/>
    <n v="7.3"/>
    <x v="1"/>
    <n v="5"/>
    <n v="7"/>
    <n v="1"/>
    <n v="1"/>
    <x v="1"/>
    <x v="3"/>
    <n v="6"/>
  </r>
  <r>
    <s v="U231"/>
    <n v="42"/>
    <x v="3"/>
    <x v="1"/>
    <n v="8.8000000000000007"/>
    <x v="0"/>
    <n v="4"/>
    <n v="8"/>
    <n v="1"/>
    <n v="1"/>
    <x v="1"/>
    <x v="4"/>
    <n v="6"/>
  </r>
  <r>
    <s v="U248"/>
    <n v="44"/>
    <x v="3"/>
    <x v="0"/>
    <n v="7.5"/>
    <x v="1"/>
    <n v="6"/>
    <n v="9"/>
    <n v="2"/>
    <n v="1"/>
    <x v="1"/>
    <x v="0"/>
    <n v="6"/>
  </r>
  <r>
    <s v="U269"/>
    <n v="48"/>
    <x v="1"/>
    <x v="1"/>
    <n v="6.9"/>
    <x v="1"/>
    <n v="5"/>
    <n v="9"/>
    <n v="4"/>
    <n v="1"/>
    <x v="1"/>
    <x v="2"/>
    <n v="6"/>
  </r>
  <r>
    <s v="U378"/>
    <n v="41"/>
    <x v="3"/>
    <x v="0"/>
    <n v="8.3000000000000007"/>
    <x v="0"/>
    <n v="4"/>
    <n v="10"/>
    <n v="3"/>
    <n v="1"/>
    <x v="1"/>
    <x v="5"/>
    <n v="6"/>
  </r>
  <r>
    <s v="U406"/>
    <n v="40"/>
    <x v="3"/>
    <x v="0"/>
    <n v="6.9"/>
    <x v="1"/>
    <n v="3"/>
    <n v="8"/>
    <n v="7"/>
    <n v="1"/>
    <x v="1"/>
    <x v="2"/>
    <n v="6"/>
  </r>
  <r>
    <s v="U453"/>
    <n v="46"/>
    <x v="1"/>
    <x v="1"/>
    <n v="6.1"/>
    <x v="1"/>
    <n v="6"/>
    <n v="8"/>
    <n v="0"/>
    <n v="1"/>
    <x v="1"/>
    <x v="5"/>
    <n v="6"/>
  </r>
  <r>
    <s v="U476"/>
    <n v="26"/>
    <x v="2"/>
    <x v="1"/>
    <n v="9.3000000000000007"/>
    <x v="0"/>
    <n v="3"/>
    <n v="8"/>
    <n v="2"/>
    <n v="1"/>
    <x v="1"/>
    <x v="2"/>
    <n v="6"/>
  </r>
  <r>
    <s v="U027"/>
    <n v="22"/>
    <x v="0"/>
    <x v="1"/>
    <n v="6.2"/>
    <x v="1"/>
    <n v="5"/>
    <n v="8"/>
    <n v="5"/>
    <n v="0"/>
    <x v="1"/>
    <x v="5"/>
    <n v="6"/>
  </r>
  <r>
    <s v="U151"/>
    <n v="17"/>
    <x v="0"/>
    <x v="1"/>
    <n v="6.8"/>
    <x v="1"/>
    <n v="5"/>
    <n v="8"/>
    <n v="6"/>
    <n v="0"/>
    <x v="1"/>
    <x v="5"/>
    <n v="6"/>
  </r>
  <r>
    <s v="U213"/>
    <n v="17"/>
    <x v="0"/>
    <x v="1"/>
    <n v="9.8000000000000007"/>
    <x v="0"/>
    <n v="4"/>
    <n v="9"/>
    <n v="5"/>
    <n v="0"/>
    <x v="1"/>
    <x v="4"/>
    <n v="6"/>
  </r>
  <r>
    <s v="U405"/>
    <n v="35"/>
    <x v="3"/>
    <x v="0"/>
    <n v="8.1999999999999993"/>
    <x v="0"/>
    <n v="4"/>
    <n v="9"/>
    <n v="5"/>
    <n v="0"/>
    <x v="1"/>
    <x v="5"/>
    <n v="6"/>
  </r>
  <r>
    <s v="U404"/>
    <n v="32"/>
    <x v="2"/>
    <x v="0"/>
    <n v="6.2"/>
    <x v="1"/>
    <n v="6"/>
    <n v="8"/>
    <n v="4"/>
    <n v="5"/>
    <x v="2"/>
    <x v="3"/>
    <n v="7"/>
  </r>
  <r>
    <s v="U445"/>
    <n v="23"/>
    <x v="0"/>
    <x v="1"/>
    <n v="4.9000000000000004"/>
    <x v="2"/>
    <n v="7"/>
    <n v="7"/>
    <n v="4"/>
    <n v="5"/>
    <x v="2"/>
    <x v="4"/>
    <n v="7"/>
  </r>
  <r>
    <s v="U451"/>
    <n v="19"/>
    <x v="0"/>
    <x v="1"/>
    <n v="8.1"/>
    <x v="0"/>
    <n v="5"/>
    <n v="9"/>
    <n v="1"/>
    <n v="5"/>
    <x v="2"/>
    <x v="5"/>
    <n v="7"/>
  </r>
  <r>
    <s v="U481"/>
    <n v="30"/>
    <x v="2"/>
    <x v="0"/>
    <n v="5"/>
    <x v="2"/>
    <n v="7"/>
    <n v="8"/>
    <n v="2"/>
    <n v="5"/>
    <x v="2"/>
    <x v="3"/>
    <n v="7"/>
  </r>
  <r>
    <s v="U008"/>
    <n v="26"/>
    <x v="2"/>
    <x v="1"/>
    <n v="7.4"/>
    <x v="1"/>
    <n v="5"/>
    <n v="6"/>
    <n v="1"/>
    <n v="4"/>
    <x v="0"/>
    <x v="1"/>
    <n v="7"/>
  </r>
  <r>
    <s v="U017"/>
    <n v="36"/>
    <x v="3"/>
    <x v="1"/>
    <n v="7.5"/>
    <x v="1"/>
    <n v="5"/>
    <n v="8"/>
    <n v="4"/>
    <n v="4"/>
    <x v="0"/>
    <x v="2"/>
    <n v="7"/>
  </r>
  <r>
    <s v="U032"/>
    <n v="40"/>
    <x v="3"/>
    <x v="0"/>
    <n v="6"/>
    <x v="1"/>
    <n v="6"/>
    <n v="7"/>
    <n v="5"/>
    <n v="4"/>
    <x v="0"/>
    <x v="0"/>
    <n v="7"/>
  </r>
  <r>
    <s v="U060"/>
    <n v="33"/>
    <x v="2"/>
    <x v="0"/>
    <n v="8.4"/>
    <x v="0"/>
    <n v="4"/>
    <n v="8"/>
    <n v="6"/>
    <n v="4"/>
    <x v="0"/>
    <x v="5"/>
    <n v="7"/>
  </r>
  <r>
    <s v="U103"/>
    <n v="47"/>
    <x v="1"/>
    <x v="0"/>
    <n v="5.9"/>
    <x v="2"/>
    <n v="4"/>
    <n v="7"/>
    <n v="2"/>
    <n v="4"/>
    <x v="0"/>
    <x v="1"/>
    <n v="7"/>
  </r>
  <r>
    <s v="U129"/>
    <n v="21"/>
    <x v="0"/>
    <x v="0"/>
    <n v="8.1999999999999993"/>
    <x v="0"/>
    <n v="5"/>
    <n v="7"/>
    <n v="6"/>
    <n v="4"/>
    <x v="0"/>
    <x v="1"/>
    <n v="7"/>
  </r>
  <r>
    <s v="U138"/>
    <n v="39"/>
    <x v="3"/>
    <x v="0"/>
    <n v="6.2"/>
    <x v="1"/>
    <n v="5"/>
    <n v="8"/>
    <n v="4"/>
    <n v="4"/>
    <x v="0"/>
    <x v="4"/>
    <n v="7"/>
  </r>
  <r>
    <s v="U184"/>
    <n v="43"/>
    <x v="3"/>
    <x v="1"/>
    <n v="6.1"/>
    <x v="1"/>
    <n v="7"/>
    <n v="9"/>
    <n v="1"/>
    <n v="4"/>
    <x v="0"/>
    <x v="3"/>
    <n v="7"/>
  </r>
  <r>
    <s v="U188"/>
    <n v="45"/>
    <x v="1"/>
    <x v="1"/>
    <n v="5.4"/>
    <x v="2"/>
    <n v="7"/>
    <n v="8"/>
    <n v="3"/>
    <n v="4"/>
    <x v="0"/>
    <x v="2"/>
    <n v="7"/>
  </r>
  <r>
    <s v="U310"/>
    <n v="41"/>
    <x v="3"/>
    <x v="1"/>
    <n v="6.2"/>
    <x v="1"/>
    <n v="8"/>
    <n v="9"/>
    <n v="0"/>
    <n v="4"/>
    <x v="0"/>
    <x v="0"/>
    <n v="7"/>
  </r>
  <r>
    <s v="U432"/>
    <n v="33"/>
    <x v="2"/>
    <x v="1"/>
    <n v="6.9"/>
    <x v="1"/>
    <n v="6"/>
    <n v="7"/>
    <n v="0"/>
    <n v="4"/>
    <x v="0"/>
    <x v="1"/>
    <n v="7"/>
  </r>
  <r>
    <s v="U433"/>
    <n v="27"/>
    <x v="2"/>
    <x v="0"/>
    <n v="6.8"/>
    <x v="1"/>
    <n v="5"/>
    <n v="8"/>
    <n v="5"/>
    <n v="4"/>
    <x v="0"/>
    <x v="0"/>
    <n v="7"/>
  </r>
  <r>
    <s v="U042"/>
    <n v="32"/>
    <x v="2"/>
    <x v="0"/>
    <n v="6.1"/>
    <x v="1"/>
    <n v="5"/>
    <n v="6"/>
    <n v="3"/>
    <n v="3"/>
    <x v="0"/>
    <x v="1"/>
    <n v="7"/>
  </r>
  <r>
    <s v="U159"/>
    <n v="39"/>
    <x v="3"/>
    <x v="0"/>
    <n v="7.5"/>
    <x v="1"/>
    <n v="5"/>
    <n v="6"/>
    <n v="6"/>
    <n v="3"/>
    <x v="0"/>
    <x v="1"/>
    <n v="7"/>
  </r>
  <r>
    <s v="U207"/>
    <n v="35"/>
    <x v="3"/>
    <x v="0"/>
    <n v="6.2"/>
    <x v="1"/>
    <n v="4"/>
    <n v="8"/>
    <n v="1"/>
    <n v="3"/>
    <x v="0"/>
    <x v="1"/>
    <n v="7"/>
  </r>
  <r>
    <s v="U215"/>
    <n v="48"/>
    <x v="1"/>
    <x v="1"/>
    <n v="6.4"/>
    <x v="1"/>
    <n v="4"/>
    <n v="6"/>
    <n v="2"/>
    <n v="3"/>
    <x v="0"/>
    <x v="0"/>
    <n v="7"/>
  </r>
  <r>
    <s v="U244"/>
    <n v="45"/>
    <x v="1"/>
    <x v="0"/>
    <n v="5.9"/>
    <x v="2"/>
    <n v="6"/>
    <n v="8"/>
    <n v="0"/>
    <n v="3"/>
    <x v="0"/>
    <x v="2"/>
    <n v="7"/>
  </r>
  <r>
    <s v="U247"/>
    <n v="39"/>
    <x v="3"/>
    <x v="1"/>
    <n v="6.6"/>
    <x v="1"/>
    <n v="6"/>
    <n v="7"/>
    <n v="3"/>
    <n v="3"/>
    <x v="0"/>
    <x v="4"/>
    <n v="7"/>
  </r>
  <r>
    <s v="U287"/>
    <n v="17"/>
    <x v="0"/>
    <x v="0"/>
    <n v="6.2"/>
    <x v="1"/>
    <n v="6"/>
    <n v="8"/>
    <n v="0"/>
    <n v="3"/>
    <x v="0"/>
    <x v="3"/>
    <n v="7"/>
  </r>
  <r>
    <s v="U307"/>
    <n v="32"/>
    <x v="2"/>
    <x v="1"/>
    <n v="6.2"/>
    <x v="1"/>
    <n v="5"/>
    <n v="7"/>
    <n v="1"/>
    <n v="3"/>
    <x v="0"/>
    <x v="0"/>
    <n v="7"/>
  </r>
  <r>
    <s v="U339"/>
    <n v="41"/>
    <x v="3"/>
    <x v="0"/>
    <n v="7.2"/>
    <x v="1"/>
    <n v="5"/>
    <n v="10"/>
    <n v="7"/>
    <n v="3"/>
    <x v="0"/>
    <x v="4"/>
    <n v="7"/>
  </r>
  <r>
    <s v="U342"/>
    <n v="45"/>
    <x v="1"/>
    <x v="1"/>
    <n v="5.6"/>
    <x v="2"/>
    <n v="6"/>
    <n v="6"/>
    <n v="1"/>
    <n v="3"/>
    <x v="0"/>
    <x v="4"/>
    <n v="7"/>
  </r>
  <r>
    <s v="U382"/>
    <n v="25"/>
    <x v="2"/>
    <x v="0"/>
    <n v="7.5"/>
    <x v="1"/>
    <n v="4"/>
    <n v="8"/>
    <n v="3"/>
    <n v="3"/>
    <x v="0"/>
    <x v="5"/>
    <n v="7"/>
  </r>
  <r>
    <s v="U387"/>
    <n v="26"/>
    <x v="2"/>
    <x v="0"/>
    <n v="8.1"/>
    <x v="0"/>
    <n v="5"/>
    <n v="7"/>
    <n v="2"/>
    <n v="3"/>
    <x v="0"/>
    <x v="1"/>
    <n v="7"/>
  </r>
  <r>
    <s v="U434"/>
    <n v="24"/>
    <x v="0"/>
    <x v="0"/>
    <n v="4.2"/>
    <x v="2"/>
    <n v="8"/>
    <n v="7"/>
    <n v="5"/>
    <n v="3"/>
    <x v="0"/>
    <x v="5"/>
    <n v="7"/>
  </r>
  <r>
    <s v="U471"/>
    <n v="21"/>
    <x v="0"/>
    <x v="0"/>
    <n v="4.4000000000000004"/>
    <x v="2"/>
    <n v="5"/>
    <n v="6"/>
    <n v="4"/>
    <n v="3"/>
    <x v="0"/>
    <x v="3"/>
    <n v="7"/>
  </r>
  <r>
    <s v="U489"/>
    <n v="25"/>
    <x v="2"/>
    <x v="1"/>
    <n v="8.4"/>
    <x v="0"/>
    <n v="5"/>
    <n v="9"/>
    <n v="1"/>
    <n v="3"/>
    <x v="0"/>
    <x v="2"/>
    <n v="7"/>
  </r>
  <r>
    <s v="U500"/>
    <n v="43"/>
    <x v="3"/>
    <x v="1"/>
    <n v="5.9"/>
    <x v="2"/>
    <n v="5"/>
    <n v="8"/>
    <n v="3"/>
    <n v="3"/>
    <x v="0"/>
    <x v="5"/>
    <n v="7"/>
  </r>
  <r>
    <s v="U010"/>
    <n v="39"/>
    <x v="3"/>
    <x v="1"/>
    <n v="6.6"/>
    <x v="1"/>
    <n v="6"/>
    <n v="8"/>
    <n v="0"/>
    <n v="2"/>
    <x v="1"/>
    <x v="2"/>
    <n v="7"/>
  </r>
  <r>
    <s v="U024"/>
    <n v="31"/>
    <x v="2"/>
    <x v="1"/>
    <n v="7.8"/>
    <x v="1"/>
    <n v="5"/>
    <n v="8"/>
    <n v="1"/>
    <n v="2"/>
    <x v="1"/>
    <x v="0"/>
    <n v="7"/>
  </r>
  <r>
    <s v="U054"/>
    <n v="30"/>
    <x v="2"/>
    <x v="1"/>
    <n v="6.7"/>
    <x v="1"/>
    <n v="6"/>
    <n v="8"/>
    <n v="6"/>
    <n v="2"/>
    <x v="1"/>
    <x v="0"/>
    <n v="7"/>
  </r>
  <r>
    <s v="U069"/>
    <n v="24"/>
    <x v="0"/>
    <x v="1"/>
    <n v="4.8"/>
    <x v="2"/>
    <n v="6"/>
    <n v="7"/>
    <n v="5"/>
    <n v="2"/>
    <x v="1"/>
    <x v="0"/>
    <n v="7"/>
  </r>
  <r>
    <s v="U080"/>
    <n v="22"/>
    <x v="0"/>
    <x v="0"/>
    <n v="5.8"/>
    <x v="2"/>
    <n v="6"/>
    <n v="8"/>
    <n v="3"/>
    <n v="2"/>
    <x v="1"/>
    <x v="5"/>
    <n v="7"/>
  </r>
  <r>
    <s v="U102"/>
    <n v="28"/>
    <x v="2"/>
    <x v="0"/>
    <n v="6.3"/>
    <x v="1"/>
    <n v="5"/>
    <n v="7"/>
    <n v="2"/>
    <n v="2"/>
    <x v="1"/>
    <x v="2"/>
    <n v="7"/>
  </r>
  <r>
    <s v="U114"/>
    <n v="43"/>
    <x v="3"/>
    <x v="0"/>
    <n v="6.4"/>
    <x v="1"/>
    <n v="6"/>
    <n v="7"/>
    <n v="4"/>
    <n v="2"/>
    <x v="1"/>
    <x v="3"/>
    <n v="7"/>
  </r>
  <r>
    <s v="U180"/>
    <n v="48"/>
    <x v="1"/>
    <x v="0"/>
    <n v="6.8"/>
    <x v="1"/>
    <n v="4"/>
    <n v="7"/>
    <n v="4"/>
    <n v="2"/>
    <x v="1"/>
    <x v="3"/>
    <n v="7"/>
  </r>
  <r>
    <s v="U205"/>
    <n v="26"/>
    <x v="2"/>
    <x v="0"/>
    <n v="7.3"/>
    <x v="1"/>
    <n v="5"/>
    <n v="8"/>
    <n v="2"/>
    <n v="2"/>
    <x v="1"/>
    <x v="5"/>
    <n v="7"/>
  </r>
  <r>
    <s v="U208"/>
    <n v="40"/>
    <x v="3"/>
    <x v="0"/>
    <n v="6.4"/>
    <x v="1"/>
    <n v="5"/>
    <n v="8"/>
    <n v="1"/>
    <n v="2"/>
    <x v="1"/>
    <x v="4"/>
    <n v="7"/>
  </r>
  <r>
    <s v="U226"/>
    <n v="27"/>
    <x v="2"/>
    <x v="0"/>
    <n v="6.6"/>
    <x v="1"/>
    <n v="5"/>
    <n v="7"/>
    <n v="5"/>
    <n v="2"/>
    <x v="1"/>
    <x v="3"/>
    <n v="7"/>
  </r>
  <r>
    <s v="U240"/>
    <n v="34"/>
    <x v="2"/>
    <x v="0"/>
    <n v="7.9"/>
    <x v="1"/>
    <n v="6"/>
    <n v="8"/>
    <n v="4"/>
    <n v="2"/>
    <x v="1"/>
    <x v="1"/>
    <n v="7"/>
  </r>
  <r>
    <s v="U260"/>
    <n v="39"/>
    <x v="3"/>
    <x v="1"/>
    <n v="7.1"/>
    <x v="1"/>
    <n v="4"/>
    <n v="8"/>
    <n v="0"/>
    <n v="2"/>
    <x v="1"/>
    <x v="2"/>
    <n v="7"/>
  </r>
  <r>
    <s v="U280"/>
    <n v="31"/>
    <x v="2"/>
    <x v="0"/>
    <n v="5.4"/>
    <x v="2"/>
    <n v="5"/>
    <n v="8"/>
    <n v="5"/>
    <n v="2"/>
    <x v="1"/>
    <x v="1"/>
    <n v="7"/>
  </r>
  <r>
    <s v="U284"/>
    <n v="30"/>
    <x v="2"/>
    <x v="1"/>
    <n v="5.9"/>
    <x v="2"/>
    <n v="6"/>
    <n v="9"/>
    <n v="3"/>
    <n v="2"/>
    <x v="1"/>
    <x v="3"/>
    <n v="7"/>
  </r>
  <r>
    <s v="U331"/>
    <n v="29"/>
    <x v="2"/>
    <x v="0"/>
    <n v="6"/>
    <x v="1"/>
    <n v="8"/>
    <n v="7"/>
    <n v="3"/>
    <n v="2"/>
    <x v="1"/>
    <x v="2"/>
    <n v="7"/>
  </r>
  <r>
    <s v="U338"/>
    <n v="41"/>
    <x v="3"/>
    <x v="1"/>
    <n v="9.1"/>
    <x v="0"/>
    <n v="4"/>
    <n v="9"/>
    <n v="4"/>
    <n v="2"/>
    <x v="1"/>
    <x v="1"/>
    <n v="7"/>
  </r>
  <r>
    <s v="U359"/>
    <n v="47"/>
    <x v="1"/>
    <x v="0"/>
    <n v="7.4"/>
    <x v="1"/>
    <n v="6"/>
    <n v="7"/>
    <n v="5"/>
    <n v="2"/>
    <x v="1"/>
    <x v="4"/>
    <n v="7"/>
  </r>
  <r>
    <s v="U370"/>
    <n v="25"/>
    <x v="2"/>
    <x v="0"/>
    <n v="8.3000000000000007"/>
    <x v="0"/>
    <n v="5"/>
    <n v="8"/>
    <n v="4"/>
    <n v="2"/>
    <x v="1"/>
    <x v="2"/>
    <n v="7"/>
  </r>
  <r>
    <s v="U437"/>
    <n v="22"/>
    <x v="0"/>
    <x v="1"/>
    <n v="8.8000000000000007"/>
    <x v="0"/>
    <n v="2"/>
    <n v="9"/>
    <n v="4"/>
    <n v="2"/>
    <x v="1"/>
    <x v="2"/>
    <n v="7"/>
  </r>
  <r>
    <s v="U109"/>
    <n v="44"/>
    <x v="3"/>
    <x v="0"/>
    <n v="6.4"/>
    <x v="1"/>
    <n v="6"/>
    <n v="8"/>
    <n v="0"/>
    <n v="1"/>
    <x v="1"/>
    <x v="4"/>
    <n v="7"/>
  </r>
  <r>
    <s v="U131"/>
    <n v="42"/>
    <x v="3"/>
    <x v="1"/>
    <n v="6"/>
    <x v="1"/>
    <n v="5"/>
    <n v="8"/>
    <n v="1"/>
    <n v="1"/>
    <x v="1"/>
    <x v="4"/>
    <n v="7"/>
  </r>
  <r>
    <s v="U167"/>
    <n v="24"/>
    <x v="0"/>
    <x v="0"/>
    <n v="7.1"/>
    <x v="1"/>
    <n v="6"/>
    <n v="8"/>
    <n v="6"/>
    <n v="1"/>
    <x v="1"/>
    <x v="0"/>
    <n v="7"/>
  </r>
  <r>
    <s v="U194"/>
    <n v="27"/>
    <x v="2"/>
    <x v="0"/>
    <n v="5.5"/>
    <x v="2"/>
    <n v="6"/>
    <n v="8"/>
    <n v="3"/>
    <n v="1"/>
    <x v="1"/>
    <x v="0"/>
    <n v="7"/>
  </r>
  <r>
    <s v="U266"/>
    <n v="17"/>
    <x v="0"/>
    <x v="0"/>
    <n v="8.6999999999999993"/>
    <x v="0"/>
    <n v="4"/>
    <n v="8"/>
    <n v="1"/>
    <n v="1"/>
    <x v="1"/>
    <x v="3"/>
    <n v="7"/>
  </r>
  <r>
    <s v="U302"/>
    <n v="45"/>
    <x v="1"/>
    <x v="1"/>
    <n v="6.4"/>
    <x v="1"/>
    <n v="6"/>
    <n v="7"/>
    <n v="2"/>
    <n v="1"/>
    <x v="1"/>
    <x v="2"/>
    <n v="7"/>
  </r>
  <r>
    <s v="U304"/>
    <n v="28"/>
    <x v="2"/>
    <x v="1"/>
    <n v="7.7"/>
    <x v="1"/>
    <n v="4"/>
    <n v="7"/>
    <n v="2"/>
    <n v="1"/>
    <x v="1"/>
    <x v="2"/>
    <n v="7"/>
  </r>
  <r>
    <s v="U313"/>
    <n v="24"/>
    <x v="0"/>
    <x v="0"/>
    <n v="5.6"/>
    <x v="2"/>
    <n v="5"/>
    <n v="8"/>
    <n v="7"/>
    <n v="1"/>
    <x v="1"/>
    <x v="3"/>
    <n v="7"/>
  </r>
  <r>
    <s v="U321"/>
    <n v="31"/>
    <x v="2"/>
    <x v="0"/>
    <n v="5.8"/>
    <x v="2"/>
    <n v="6"/>
    <n v="8"/>
    <n v="6"/>
    <n v="1"/>
    <x v="1"/>
    <x v="2"/>
    <n v="7"/>
  </r>
  <r>
    <s v="U335"/>
    <n v="20"/>
    <x v="0"/>
    <x v="0"/>
    <n v="6.5"/>
    <x v="1"/>
    <n v="7"/>
    <n v="7"/>
    <n v="4"/>
    <n v="1"/>
    <x v="1"/>
    <x v="4"/>
    <n v="7"/>
  </r>
  <r>
    <s v="U362"/>
    <n v="39"/>
    <x v="3"/>
    <x v="1"/>
    <n v="6.6"/>
    <x v="1"/>
    <n v="6"/>
    <n v="7"/>
    <n v="3"/>
    <n v="1"/>
    <x v="1"/>
    <x v="1"/>
    <n v="7"/>
  </r>
  <r>
    <s v="U392"/>
    <n v="24"/>
    <x v="0"/>
    <x v="0"/>
    <n v="6.5"/>
    <x v="1"/>
    <n v="7"/>
    <n v="6"/>
    <n v="1"/>
    <n v="1"/>
    <x v="1"/>
    <x v="4"/>
    <n v="7"/>
  </r>
  <r>
    <s v="U448"/>
    <n v="32"/>
    <x v="2"/>
    <x v="0"/>
    <n v="8.4"/>
    <x v="0"/>
    <n v="5"/>
    <n v="9"/>
    <n v="4"/>
    <n v="1"/>
    <x v="1"/>
    <x v="5"/>
    <n v="7"/>
  </r>
  <r>
    <s v="U459"/>
    <n v="18"/>
    <x v="0"/>
    <x v="0"/>
    <n v="7.3"/>
    <x v="1"/>
    <n v="5"/>
    <n v="8"/>
    <n v="1"/>
    <n v="1"/>
    <x v="1"/>
    <x v="3"/>
    <n v="7"/>
  </r>
  <r>
    <s v="U486"/>
    <n v="38"/>
    <x v="3"/>
    <x v="0"/>
    <n v="6.6"/>
    <x v="1"/>
    <n v="6"/>
    <n v="8"/>
    <n v="2"/>
    <n v="1"/>
    <x v="1"/>
    <x v="0"/>
    <n v="7"/>
  </r>
  <r>
    <s v="U007"/>
    <n v="26"/>
    <x v="2"/>
    <x v="1"/>
    <n v="7.8"/>
    <x v="1"/>
    <n v="4"/>
    <n v="8"/>
    <n v="2"/>
    <n v="0"/>
    <x v="1"/>
    <x v="0"/>
    <n v="7"/>
  </r>
  <r>
    <s v="U011"/>
    <n v="18"/>
    <x v="0"/>
    <x v="1"/>
    <n v="2.8"/>
    <x v="3"/>
    <n v="7"/>
    <n v="6"/>
    <n v="2"/>
    <n v="0"/>
    <x v="1"/>
    <x v="1"/>
    <n v="7"/>
  </r>
  <r>
    <s v="U034"/>
    <n v="24"/>
    <x v="0"/>
    <x v="1"/>
    <n v="6.6"/>
    <x v="1"/>
    <n v="6"/>
    <n v="7"/>
    <n v="4"/>
    <n v="0"/>
    <x v="1"/>
    <x v="0"/>
    <n v="7"/>
  </r>
  <r>
    <s v="U172"/>
    <n v="35"/>
    <x v="3"/>
    <x v="0"/>
    <n v="5.0999999999999996"/>
    <x v="2"/>
    <n v="7"/>
    <n v="7"/>
    <n v="2"/>
    <n v="0"/>
    <x v="1"/>
    <x v="2"/>
    <n v="7"/>
  </r>
  <r>
    <s v="U257"/>
    <n v="40"/>
    <x v="3"/>
    <x v="0"/>
    <n v="7.5"/>
    <x v="1"/>
    <n v="4"/>
    <n v="8"/>
    <n v="5"/>
    <n v="0"/>
    <x v="1"/>
    <x v="2"/>
    <n v="7"/>
  </r>
  <r>
    <s v="U296"/>
    <n v="48"/>
    <x v="1"/>
    <x v="1"/>
    <n v="6"/>
    <x v="1"/>
    <n v="5"/>
    <n v="7"/>
    <n v="2"/>
    <n v="0"/>
    <x v="1"/>
    <x v="1"/>
    <n v="7"/>
  </r>
  <r>
    <s v="U361"/>
    <n v="35"/>
    <x v="3"/>
    <x v="1"/>
    <n v="6.8"/>
    <x v="1"/>
    <n v="4"/>
    <n v="9"/>
    <n v="3"/>
    <n v="0"/>
    <x v="1"/>
    <x v="5"/>
    <n v="7"/>
  </r>
  <r>
    <s v="U025"/>
    <n v="30"/>
    <x v="2"/>
    <x v="0"/>
    <n v="5"/>
    <x v="2"/>
    <n v="6"/>
    <n v="6"/>
    <n v="0"/>
    <n v="5"/>
    <x v="2"/>
    <x v="5"/>
    <n v="8"/>
  </r>
  <r>
    <s v="U123"/>
    <n v="40"/>
    <x v="3"/>
    <x v="1"/>
    <n v="7"/>
    <x v="1"/>
    <n v="4"/>
    <n v="6"/>
    <n v="0"/>
    <n v="5"/>
    <x v="2"/>
    <x v="1"/>
    <n v="8"/>
  </r>
  <r>
    <s v="U319"/>
    <n v="40"/>
    <x v="3"/>
    <x v="1"/>
    <n v="4.4000000000000004"/>
    <x v="2"/>
    <n v="8"/>
    <n v="7"/>
    <n v="4"/>
    <n v="5"/>
    <x v="2"/>
    <x v="4"/>
    <n v="8"/>
  </r>
  <r>
    <s v="U393"/>
    <n v="39"/>
    <x v="3"/>
    <x v="0"/>
    <n v="5"/>
    <x v="2"/>
    <n v="5"/>
    <n v="6"/>
    <n v="4"/>
    <n v="5"/>
    <x v="2"/>
    <x v="2"/>
    <n v="8"/>
  </r>
  <r>
    <s v="U420"/>
    <n v="20"/>
    <x v="0"/>
    <x v="0"/>
    <n v="5.6"/>
    <x v="2"/>
    <n v="8"/>
    <n v="8"/>
    <n v="3"/>
    <n v="5"/>
    <x v="2"/>
    <x v="1"/>
    <n v="8"/>
  </r>
  <r>
    <s v="U030"/>
    <n v="33"/>
    <x v="2"/>
    <x v="0"/>
    <n v="7.4"/>
    <x v="1"/>
    <n v="6"/>
    <n v="10"/>
    <n v="3"/>
    <n v="4"/>
    <x v="0"/>
    <x v="1"/>
    <n v="8"/>
  </r>
  <r>
    <s v="U074"/>
    <n v="26"/>
    <x v="2"/>
    <x v="1"/>
    <n v="4.8"/>
    <x v="2"/>
    <n v="6"/>
    <n v="6"/>
    <n v="1"/>
    <n v="4"/>
    <x v="0"/>
    <x v="4"/>
    <n v="8"/>
  </r>
  <r>
    <s v="U084"/>
    <n v="49"/>
    <x v="1"/>
    <x v="0"/>
    <n v="7.5"/>
    <x v="1"/>
    <n v="4"/>
    <n v="7"/>
    <n v="2"/>
    <n v="4"/>
    <x v="0"/>
    <x v="5"/>
    <n v="8"/>
  </r>
  <r>
    <s v="U111"/>
    <n v="47"/>
    <x v="1"/>
    <x v="0"/>
    <n v="7.3"/>
    <x v="1"/>
    <n v="4"/>
    <n v="6"/>
    <n v="5"/>
    <n v="4"/>
    <x v="0"/>
    <x v="0"/>
    <n v="8"/>
  </r>
  <r>
    <s v="U157"/>
    <n v="26"/>
    <x v="2"/>
    <x v="1"/>
    <n v="6.7"/>
    <x v="1"/>
    <n v="5"/>
    <n v="7"/>
    <n v="2"/>
    <n v="4"/>
    <x v="0"/>
    <x v="1"/>
    <n v="8"/>
  </r>
  <r>
    <s v="U177"/>
    <n v="35"/>
    <x v="3"/>
    <x v="1"/>
    <n v="6"/>
    <x v="1"/>
    <n v="7"/>
    <n v="7"/>
    <n v="5"/>
    <n v="4"/>
    <x v="0"/>
    <x v="5"/>
    <n v="8"/>
  </r>
  <r>
    <s v="U186"/>
    <n v="38"/>
    <x v="3"/>
    <x v="0"/>
    <n v="6.4"/>
    <x v="1"/>
    <n v="6"/>
    <n v="7"/>
    <n v="0"/>
    <n v="4"/>
    <x v="0"/>
    <x v="2"/>
    <n v="8"/>
  </r>
  <r>
    <s v="U254"/>
    <n v="48"/>
    <x v="1"/>
    <x v="0"/>
    <n v="6.5"/>
    <x v="1"/>
    <n v="5"/>
    <n v="8"/>
    <n v="6"/>
    <n v="4"/>
    <x v="0"/>
    <x v="1"/>
    <n v="8"/>
  </r>
  <r>
    <s v="U297"/>
    <n v="23"/>
    <x v="0"/>
    <x v="1"/>
    <n v="5"/>
    <x v="2"/>
    <n v="5"/>
    <n v="7"/>
    <n v="2"/>
    <n v="4"/>
    <x v="0"/>
    <x v="1"/>
    <n v="8"/>
  </r>
  <r>
    <s v="U303"/>
    <n v="31"/>
    <x v="2"/>
    <x v="1"/>
    <n v="7"/>
    <x v="1"/>
    <n v="5"/>
    <n v="6"/>
    <n v="3"/>
    <n v="4"/>
    <x v="0"/>
    <x v="3"/>
    <n v="8"/>
  </r>
  <r>
    <s v="U309"/>
    <n v="43"/>
    <x v="3"/>
    <x v="1"/>
    <n v="5"/>
    <x v="2"/>
    <n v="5"/>
    <n v="6"/>
    <n v="0"/>
    <n v="4"/>
    <x v="0"/>
    <x v="2"/>
    <n v="8"/>
  </r>
  <r>
    <s v="U344"/>
    <n v="25"/>
    <x v="2"/>
    <x v="0"/>
    <n v="6.3"/>
    <x v="1"/>
    <n v="5"/>
    <n v="9"/>
    <n v="5"/>
    <n v="4"/>
    <x v="0"/>
    <x v="2"/>
    <n v="8"/>
  </r>
  <r>
    <s v="U346"/>
    <n v="49"/>
    <x v="1"/>
    <x v="0"/>
    <n v="6.7"/>
    <x v="1"/>
    <n v="6"/>
    <n v="8"/>
    <n v="1"/>
    <n v="4"/>
    <x v="0"/>
    <x v="1"/>
    <n v="8"/>
  </r>
  <r>
    <s v="U390"/>
    <n v="36"/>
    <x v="3"/>
    <x v="1"/>
    <n v="6.8"/>
    <x v="1"/>
    <n v="5"/>
    <n v="8"/>
    <n v="3"/>
    <n v="4"/>
    <x v="0"/>
    <x v="3"/>
    <n v="8"/>
  </r>
  <r>
    <s v="U409"/>
    <n v="34"/>
    <x v="2"/>
    <x v="1"/>
    <n v="5.3"/>
    <x v="2"/>
    <n v="6"/>
    <n v="6"/>
    <n v="6"/>
    <n v="4"/>
    <x v="0"/>
    <x v="0"/>
    <n v="8"/>
  </r>
  <r>
    <s v="U422"/>
    <n v="40"/>
    <x v="3"/>
    <x v="1"/>
    <n v="5.8"/>
    <x v="2"/>
    <n v="7"/>
    <n v="8"/>
    <n v="4"/>
    <n v="4"/>
    <x v="0"/>
    <x v="0"/>
    <n v="8"/>
  </r>
  <r>
    <s v="U427"/>
    <n v="46"/>
    <x v="1"/>
    <x v="1"/>
    <n v="6.4"/>
    <x v="1"/>
    <n v="6"/>
    <n v="8"/>
    <n v="5"/>
    <n v="4"/>
    <x v="0"/>
    <x v="5"/>
    <n v="8"/>
  </r>
  <r>
    <s v="U462"/>
    <n v="35"/>
    <x v="3"/>
    <x v="0"/>
    <n v="4.5"/>
    <x v="2"/>
    <n v="7"/>
    <n v="8"/>
    <n v="4"/>
    <n v="4"/>
    <x v="0"/>
    <x v="1"/>
    <n v="8"/>
  </r>
  <r>
    <s v="U467"/>
    <n v="28"/>
    <x v="2"/>
    <x v="0"/>
    <n v="4.4000000000000004"/>
    <x v="2"/>
    <n v="7"/>
    <n v="7"/>
    <n v="3"/>
    <n v="4"/>
    <x v="0"/>
    <x v="0"/>
    <n v="8"/>
  </r>
  <r>
    <s v="U475"/>
    <n v="36"/>
    <x v="3"/>
    <x v="1"/>
    <n v="6.3"/>
    <x v="1"/>
    <n v="7"/>
    <n v="7"/>
    <n v="3"/>
    <n v="4"/>
    <x v="0"/>
    <x v="0"/>
    <n v="8"/>
  </r>
  <r>
    <s v="U006"/>
    <n v="38"/>
    <x v="3"/>
    <x v="0"/>
    <n v="6.6"/>
    <x v="1"/>
    <n v="5"/>
    <n v="7"/>
    <n v="4"/>
    <n v="3"/>
    <x v="0"/>
    <x v="4"/>
    <n v="8"/>
  </r>
  <r>
    <s v="U037"/>
    <n v="35"/>
    <x v="3"/>
    <x v="1"/>
    <n v="7.7"/>
    <x v="1"/>
    <n v="4"/>
    <n v="8"/>
    <n v="0"/>
    <n v="3"/>
    <x v="0"/>
    <x v="2"/>
    <n v="8"/>
  </r>
  <r>
    <s v="U055"/>
    <n v="23"/>
    <x v="0"/>
    <x v="1"/>
    <n v="5.2"/>
    <x v="2"/>
    <n v="6"/>
    <n v="6"/>
    <n v="7"/>
    <n v="3"/>
    <x v="0"/>
    <x v="3"/>
    <n v="8"/>
  </r>
  <r>
    <s v="U072"/>
    <n v="23"/>
    <x v="0"/>
    <x v="1"/>
    <n v="7.4"/>
    <x v="1"/>
    <n v="6"/>
    <n v="7"/>
    <n v="2"/>
    <n v="3"/>
    <x v="0"/>
    <x v="0"/>
    <n v="8"/>
  </r>
  <r>
    <s v="U097"/>
    <n v="42"/>
    <x v="3"/>
    <x v="0"/>
    <n v="7.7"/>
    <x v="1"/>
    <n v="4"/>
    <n v="7"/>
    <n v="2"/>
    <n v="3"/>
    <x v="0"/>
    <x v="2"/>
    <n v="8"/>
  </r>
  <r>
    <s v="U120"/>
    <n v="45"/>
    <x v="1"/>
    <x v="0"/>
    <n v="6.2"/>
    <x v="1"/>
    <n v="5"/>
    <n v="8"/>
    <n v="5"/>
    <n v="3"/>
    <x v="0"/>
    <x v="3"/>
    <n v="8"/>
  </r>
  <r>
    <s v="U127"/>
    <n v="28"/>
    <x v="2"/>
    <x v="1"/>
    <n v="6.9"/>
    <x v="1"/>
    <n v="5"/>
    <n v="8"/>
    <n v="3"/>
    <n v="3"/>
    <x v="0"/>
    <x v="2"/>
    <n v="8"/>
  </r>
  <r>
    <s v="U133"/>
    <n v="48"/>
    <x v="1"/>
    <x v="0"/>
    <n v="6.5"/>
    <x v="1"/>
    <n v="6"/>
    <n v="8"/>
    <n v="3"/>
    <n v="3"/>
    <x v="0"/>
    <x v="0"/>
    <n v="8"/>
  </r>
  <r>
    <s v="U158"/>
    <n v="32"/>
    <x v="2"/>
    <x v="0"/>
    <n v="7.3"/>
    <x v="1"/>
    <n v="5"/>
    <n v="7"/>
    <n v="1"/>
    <n v="3"/>
    <x v="0"/>
    <x v="3"/>
    <n v="8"/>
  </r>
  <r>
    <s v="U161"/>
    <n v="49"/>
    <x v="1"/>
    <x v="0"/>
    <n v="5.0999999999999996"/>
    <x v="2"/>
    <n v="5"/>
    <n v="7"/>
    <n v="6"/>
    <n v="3"/>
    <x v="0"/>
    <x v="3"/>
    <n v="8"/>
  </r>
  <r>
    <s v="U166"/>
    <n v="48"/>
    <x v="1"/>
    <x v="1"/>
    <n v="8.5"/>
    <x v="0"/>
    <n v="4"/>
    <n v="10"/>
    <n v="3"/>
    <n v="3"/>
    <x v="0"/>
    <x v="4"/>
    <n v="8"/>
  </r>
  <r>
    <s v="U173"/>
    <n v="34"/>
    <x v="2"/>
    <x v="0"/>
    <n v="7.2"/>
    <x v="1"/>
    <n v="6"/>
    <n v="6"/>
    <n v="3"/>
    <n v="3"/>
    <x v="0"/>
    <x v="5"/>
    <n v="8"/>
  </r>
  <r>
    <s v="U193"/>
    <n v="16"/>
    <x v="0"/>
    <x v="0"/>
    <n v="4.2"/>
    <x v="2"/>
    <n v="7"/>
    <n v="7"/>
    <n v="5"/>
    <n v="3"/>
    <x v="0"/>
    <x v="0"/>
    <n v="8"/>
  </r>
  <r>
    <s v="U233"/>
    <n v="49"/>
    <x v="1"/>
    <x v="0"/>
    <n v="6.2"/>
    <x v="1"/>
    <n v="6"/>
    <n v="8"/>
    <n v="1"/>
    <n v="3"/>
    <x v="0"/>
    <x v="4"/>
    <n v="8"/>
  </r>
  <r>
    <s v="U241"/>
    <n v="19"/>
    <x v="0"/>
    <x v="1"/>
    <n v="6.2"/>
    <x v="1"/>
    <n v="5"/>
    <n v="7"/>
    <n v="1"/>
    <n v="3"/>
    <x v="0"/>
    <x v="3"/>
    <n v="8"/>
  </r>
  <r>
    <s v="U250"/>
    <n v="48"/>
    <x v="1"/>
    <x v="0"/>
    <n v="5.3"/>
    <x v="2"/>
    <n v="5"/>
    <n v="5"/>
    <n v="2"/>
    <n v="3"/>
    <x v="0"/>
    <x v="4"/>
    <n v="8"/>
  </r>
  <r>
    <s v="U271"/>
    <n v="44"/>
    <x v="3"/>
    <x v="1"/>
    <n v="6.5"/>
    <x v="1"/>
    <n v="5"/>
    <n v="6"/>
    <n v="2"/>
    <n v="3"/>
    <x v="0"/>
    <x v="1"/>
    <n v="8"/>
  </r>
  <r>
    <s v="U337"/>
    <n v="31"/>
    <x v="2"/>
    <x v="0"/>
    <n v="5.4"/>
    <x v="2"/>
    <n v="6"/>
    <n v="7"/>
    <n v="5"/>
    <n v="3"/>
    <x v="0"/>
    <x v="2"/>
    <n v="8"/>
  </r>
  <r>
    <s v="U348"/>
    <n v="25"/>
    <x v="2"/>
    <x v="0"/>
    <n v="8.4"/>
    <x v="0"/>
    <n v="5"/>
    <n v="8"/>
    <n v="2"/>
    <n v="3"/>
    <x v="0"/>
    <x v="0"/>
    <n v="8"/>
  </r>
  <r>
    <s v="U391"/>
    <n v="25"/>
    <x v="2"/>
    <x v="0"/>
    <n v="6.7"/>
    <x v="1"/>
    <n v="7"/>
    <n v="7"/>
    <n v="5"/>
    <n v="3"/>
    <x v="0"/>
    <x v="4"/>
    <n v="8"/>
  </r>
  <r>
    <s v="U397"/>
    <n v="38"/>
    <x v="3"/>
    <x v="0"/>
    <n v="5.4"/>
    <x v="2"/>
    <n v="8"/>
    <n v="9"/>
    <n v="5"/>
    <n v="3"/>
    <x v="0"/>
    <x v="5"/>
    <n v="8"/>
  </r>
  <r>
    <s v="U429"/>
    <n v="38"/>
    <x v="3"/>
    <x v="0"/>
    <n v="7.6"/>
    <x v="1"/>
    <n v="6"/>
    <n v="9"/>
    <n v="4"/>
    <n v="3"/>
    <x v="0"/>
    <x v="5"/>
    <n v="8"/>
  </r>
  <r>
    <s v="U449"/>
    <n v="22"/>
    <x v="0"/>
    <x v="0"/>
    <n v="2.7"/>
    <x v="3"/>
    <n v="6"/>
    <n v="6"/>
    <n v="1"/>
    <n v="3"/>
    <x v="0"/>
    <x v="4"/>
    <n v="8"/>
  </r>
  <r>
    <s v="U450"/>
    <n v="40"/>
    <x v="3"/>
    <x v="0"/>
    <n v="6"/>
    <x v="1"/>
    <n v="4"/>
    <n v="6"/>
    <n v="9"/>
    <n v="3"/>
    <x v="0"/>
    <x v="4"/>
    <n v="8"/>
  </r>
  <r>
    <s v="U470"/>
    <n v="48"/>
    <x v="1"/>
    <x v="1"/>
    <n v="5.6"/>
    <x v="2"/>
    <n v="6"/>
    <n v="6"/>
    <n v="5"/>
    <n v="3"/>
    <x v="0"/>
    <x v="0"/>
    <n v="8"/>
  </r>
  <r>
    <s v="U075"/>
    <n v="32"/>
    <x v="2"/>
    <x v="1"/>
    <n v="4.2"/>
    <x v="2"/>
    <n v="8"/>
    <n v="8"/>
    <n v="5"/>
    <n v="2"/>
    <x v="1"/>
    <x v="4"/>
    <n v="8"/>
  </r>
  <r>
    <s v="U081"/>
    <n v="24"/>
    <x v="0"/>
    <x v="1"/>
    <n v="4.8"/>
    <x v="2"/>
    <n v="6"/>
    <n v="7"/>
    <n v="2"/>
    <n v="2"/>
    <x v="1"/>
    <x v="1"/>
    <n v="8"/>
  </r>
  <r>
    <s v="U083"/>
    <n v="27"/>
    <x v="2"/>
    <x v="0"/>
    <n v="6.5"/>
    <x v="1"/>
    <n v="7"/>
    <n v="9"/>
    <n v="7"/>
    <n v="2"/>
    <x v="1"/>
    <x v="0"/>
    <n v="8"/>
  </r>
  <r>
    <s v="U099"/>
    <n v="30"/>
    <x v="2"/>
    <x v="1"/>
    <n v="7.9"/>
    <x v="1"/>
    <n v="5"/>
    <n v="8"/>
    <n v="0"/>
    <n v="2"/>
    <x v="1"/>
    <x v="4"/>
    <n v="8"/>
  </r>
  <r>
    <s v="U110"/>
    <n v="28"/>
    <x v="2"/>
    <x v="0"/>
    <n v="7"/>
    <x v="1"/>
    <n v="6"/>
    <n v="6"/>
    <n v="3"/>
    <n v="2"/>
    <x v="1"/>
    <x v="5"/>
    <n v="8"/>
  </r>
  <r>
    <s v="U154"/>
    <n v="21"/>
    <x v="0"/>
    <x v="0"/>
    <n v="4.8"/>
    <x v="2"/>
    <n v="5"/>
    <n v="7"/>
    <n v="1"/>
    <n v="2"/>
    <x v="1"/>
    <x v="1"/>
    <n v="8"/>
  </r>
  <r>
    <s v="U175"/>
    <n v="18"/>
    <x v="0"/>
    <x v="1"/>
    <n v="6.4"/>
    <x v="1"/>
    <n v="6"/>
    <n v="8"/>
    <n v="0"/>
    <n v="2"/>
    <x v="1"/>
    <x v="5"/>
    <n v="8"/>
  </r>
  <r>
    <s v="U196"/>
    <n v="47"/>
    <x v="1"/>
    <x v="1"/>
    <n v="6.5"/>
    <x v="1"/>
    <n v="5"/>
    <n v="7"/>
    <n v="2"/>
    <n v="2"/>
    <x v="1"/>
    <x v="4"/>
    <n v="8"/>
  </r>
  <r>
    <s v="U218"/>
    <n v="29"/>
    <x v="2"/>
    <x v="0"/>
    <n v="5.6"/>
    <x v="2"/>
    <n v="6"/>
    <n v="6"/>
    <n v="0"/>
    <n v="2"/>
    <x v="1"/>
    <x v="5"/>
    <n v="8"/>
  </r>
  <r>
    <s v="U222"/>
    <n v="22"/>
    <x v="0"/>
    <x v="0"/>
    <n v="4.2"/>
    <x v="2"/>
    <n v="6"/>
    <n v="6"/>
    <n v="0"/>
    <n v="2"/>
    <x v="1"/>
    <x v="3"/>
    <n v="8"/>
  </r>
  <r>
    <s v="U223"/>
    <n v="18"/>
    <x v="0"/>
    <x v="1"/>
    <n v="5.9"/>
    <x v="2"/>
    <n v="8"/>
    <n v="6"/>
    <n v="0"/>
    <n v="2"/>
    <x v="1"/>
    <x v="2"/>
    <n v="8"/>
  </r>
  <r>
    <s v="U227"/>
    <n v="37"/>
    <x v="3"/>
    <x v="1"/>
    <n v="4.5999999999999996"/>
    <x v="2"/>
    <n v="9"/>
    <n v="6"/>
    <n v="3"/>
    <n v="2"/>
    <x v="1"/>
    <x v="3"/>
    <n v="8"/>
  </r>
  <r>
    <s v="U234"/>
    <n v="36"/>
    <x v="3"/>
    <x v="0"/>
    <n v="6.7"/>
    <x v="1"/>
    <n v="7"/>
    <n v="7"/>
    <n v="4"/>
    <n v="2"/>
    <x v="1"/>
    <x v="0"/>
    <n v="8"/>
  </r>
  <r>
    <s v="U252"/>
    <n v="47"/>
    <x v="1"/>
    <x v="1"/>
    <n v="6.9"/>
    <x v="1"/>
    <n v="6"/>
    <n v="8"/>
    <n v="4"/>
    <n v="2"/>
    <x v="1"/>
    <x v="5"/>
    <n v="8"/>
  </r>
  <r>
    <s v="U265"/>
    <n v="42"/>
    <x v="3"/>
    <x v="0"/>
    <n v="5.3"/>
    <x v="2"/>
    <n v="7"/>
    <n v="7"/>
    <n v="4"/>
    <n v="2"/>
    <x v="1"/>
    <x v="0"/>
    <n v="8"/>
  </r>
  <r>
    <s v="U268"/>
    <n v="32"/>
    <x v="2"/>
    <x v="0"/>
    <n v="4.5"/>
    <x v="2"/>
    <n v="7"/>
    <n v="6"/>
    <n v="1"/>
    <n v="2"/>
    <x v="1"/>
    <x v="4"/>
    <n v="8"/>
  </r>
  <r>
    <s v="U292"/>
    <n v="37"/>
    <x v="3"/>
    <x v="0"/>
    <n v="4.2"/>
    <x v="2"/>
    <n v="9"/>
    <n v="7"/>
    <n v="2"/>
    <n v="2"/>
    <x v="1"/>
    <x v="4"/>
    <n v="8"/>
  </r>
  <r>
    <s v="U317"/>
    <n v="49"/>
    <x v="1"/>
    <x v="1"/>
    <n v="5.2"/>
    <x v="2"/>
    <n v="7"/>
    <n v="8"/>
    <n v="3"/>
    <n v="2"/>
    <x v="1"/>
    <x v="4"/>
    <n v="8"/>
  </r>
  <r>
    <s v="U318"/>
    <n v="47"/>
    <x v="1"/>
    <x v="1"/>
    <n v="6.3"/>
    <x v="1"/>
    <n v="5"/>
    <n v="8"/>
    <n v="7"/>
    <n v="2"/>
    <x v="1"/>
    <x v="5"/>
    <n v="8"/>
  </r>
  <r>
    <s v="U322"/>
    <n v="20"/>
    <x v="0"/>
    <x v="0"/>
    <n v="6.3"/>
    <x v="1"/>
    <n v="6"/>
    <n v="6"/>
    <n v="4"/>
    <n v="2"/>
    <x v="1"/>
    <x v="0"/>
    <n v="8"/>
  </r>
  <r>
    <s v="U328"/>
    <n v="31"/>
    <x v="2"/>
    <x v="1"/>
    <n v="6.2"/>
    <x v="1"/>
    <n v="6"/>
    <n v="7"/>
    <n v="6"/>
    <n v="2"/>
    <x v="1"/>
    <x v="2"/>
    <n v="8"/>
  </r>
  <r>
    <s v="U350"/>
    <n v="47"/>
    <x v="1"/>
    <x v="0"/>
    <n v="6"/>
    <x v="1"/>
    <n v="6"/>
    <n v="7"/>
    <n v="3"/>
    <n v="2"/>
    <x v="1"/>
    <x v="1"/>
    <n v="8"/>
  </r>
  <r>
    <s v="U356"/>
    <n v="31"/>
    <x v="2"/>
    <x v="0"/>
    <n v="6.1"/>
    <x v="1"/>
    <n v="6"/>
    <n v="6"/>
    <n v="2"/>
    <n v="2"/>
    <x v="1"/>
    <x v="5"/>
    <n v="8"/>
  </r>
  <r>
    <s v="U360"/>
    <n v="42"/>
    <x v="3"/>
    <x v="0"/>
    <n v="6.5"/>
    <x v="1"/>
    <n v="5"/>
    <n v="7"/>
    <n v="1"/>
    <n v="2"/>
    <x v="1"/>
    <x v="1"/>
    <n v="8"/>
  </r>
  <r>
    <s v="U396"/>
    <n v="39"/>
    <x v="3"/>
    <x v="1"/>
    <n v="6.5"/>
    <x v="1"/>
    <n v="5"/>
    <n v="7"/>
    <n v="2"/>
    <n v="2"/>
    <x v="1"/>
    <x v="1"/>
    <n v="8"/>
  </r>
  <r>
    <s v="U416"/>
    <n v="29"/>
    <x v="2"/>
    <x v="1"/>
    <n v="3.8"/>
    <x v="2"/>
    <n v="7"/>
    <n v="6"/>
    <n v="3"/>
    <n v="2"/>
    <x v="1"/>
    <x v="4"/>
    <n v="8"/>
  </r>
  <r>
    <s v="U439"/>
    <n v="24"/>
    <x v="0"/>
    <x v="0"/>
    <n v="5.9"/>
    <x v="2"/>
    <n v="7"/>
    <n v="6"/>
    <n v="1"/>
    <n v="2"/>
    <x v="1"/>
    <x v="1"/>
    <n v="8"/>
  </r>
  <r>
    <s v="U447"/>
    <n v="37"/>
    <x v="3"/>
    <x v="1"/>
    <n v="7.7"/>
    <x v="1"/>
    <n v="4"/>
    <n v="8"/>
    <n v="5"/>
    <n v="2"/>
    <x v="1"/>
    <x v="4"/>
    <n v="8"/>
  </r>
  <r>
    <s v="U483"/>
    <n v="16"/>
    <x v="0"/>
    <x v="1"/>
    <n v="5.7"/>
    <x v="2"/>
    <n v="6"/>
    <n v="6"/>
    <n v="0"/>
    <n v="2"/>
    <x v="1"/>
    <x v="5"/>
    <n v="8"/>
  </r>
  <r>
    <s v="U488"/>
    <n v="27"/>
    <x v="2"/>
    <x v="1"/>
    <n v="5.6"/>
    <x v="2"/>
    <n v="7"/>
    <n v="7"/>
    <n v="5"/>
    <n v="2"/>
    <x v="1"/>
    <x v="2"/>
    <n v="8"/>
  </r>
  <r>
    <s v="U498"/>
    <n v="41"/>
    <x v="3"/>
    <x v="0"/>
    <n v="7.7"/>
    <x v="1"/>
    <n v="5"/>
    <n v="7"/>
    <n v="2"/>
    <n v="2"/>
    <x v="1"/>
    <x v="4"/>
    <n v="8"/>
  </r>
  <r>
    <s v="U004"/>
    <n v="36"/>
    <x v="3"/>
    <x v="1"/>
    <n v="5.7"/>
    <x v="2"/>
    <n v="7"/>
    <n v="8"/>
    <n v="1"/>
    <n v="1"/>
    <x v="1"/>
    <x v="0"/>
    <n v="8"/>
  </r>
  <r>
    <s v="U005"/>
    <n v="34"/>
    <x v="2"/>
    <x v="1"/>
    <n v="7"/>
    <x v="1"/>
    <n v="4"/>
    <n v="7"/>
    <n v="5"/>
    <n v="1"/>
    <x v="1"/>
    <x v="5"/>
    <n v="8"/>
  </r>
  <r>
    <s v="U013"/>
    <n v="17"/>
    <x v="0"/>
    <x v="1"/>
    <n v="7"/>
    <x v="1"/>
    <n v="7"/>
    <n v="10"/>
    <n v="7"/>
    <n v="1"/>
    <x v="1"/>
    <x v="3"/>
    <n v="8"/>
  </r>
  <r>
    <s v="U045"/>
    <n v="21"/>
    <x v="0"/>
    <x v="1"/>
    <n v="3.9"/>
    <x v="2"/>
    <n v="6"/>
    <n v="6"/>
    <n v="4"/>
    <n v="1"/>
    <x v="1"/>
    <x v="5"/>
    <n v="8"/>
  </r>
  <r>
    <s v="U047"/>
    <n v="44"/>
    <x v="3"/>
    <x v="1"/>
    <n v="5"/>
    <x v="2"/>
    <n v="4"/>
    <n v="7"/>
    <n v="2"/>
    <n v="1"/>
    <x v="1"/>
    <x v="2"/>
    <n v="8"/>
  </r>
  <r>
    <s v="U082"/>
    <n v="23"/>
    <x v="0"/>
    <x v="1"/>
    <n v="6.6"/>
    <x v="1"/>
    <n v="6"/>
    <n v="8"/>
    <n v="5"/>
    <n v="1"/>
    <x v="1"/>
    <x v="0"/>
    <n v="8"/>
  </r>
  <r>
    <s v="U094"/>
    <n v="20"/>
    <x v="0"/>
    <x v="0"/>
    <n v="3.6"/>
    <x v="2"/>
    <n v="7"/>
    <n v="7"/>
    <n v="2"/>
    <n v="1"/>
    <x v="1"/>
    <x v="5"/>
    <n v="8"/>
  </r>
  <r>
    <s v="U135"/>
    <n v="30"/>
    <x v="2"/>
    <x v="1"/>
    <n v="7.7"/>
    <x v="1"/>
    <n v="4"/>
    <n v="10"/>
    <n v="2"/>
    <n v="1"/>
    <x v="1"/>
    <x v="5"/>
    <n v="8"/>
  </r>
  <r>
    <s v="U144"/>
    <n v="17"/>
    <x v="0"/>
    <x v="0"/>
    <n v="7.2"/>
    <x v="1"/>
    <n v="7"/>
    <n v="8"/>
    <n v="3"/>
    <n v="1"/>
    <x v="1"/>
    <x v="1"/>
    <n v="8"/>
  </r>
  <r>
    <s v="U162"/>
    <n v="21"/>
    <x v="0"/>
    <x v="1"/>
    <n v="3.4"/>
    <x v="2"/>
    <n v="9"/>
    <n v="7"/>
    <n v="5"/>
    <n v="1"/>
    <x v="1"/>
    <x v="3"/>
    <n v="8"/>
  </r>
  <r>
    <s v="U323"/>
    <n v="37"/>
    <x v="3"/>
    <x v="0"/>
    <n v="5.3"/>
    <x v="2"/>
    <n v="7"/>
    <n v="7"/>
    <n v="5"/>
    <n v="1"/>
    <x v="1"/>
    <x v="0"/>
    <n v="8"/>
  </r>
  <r>
    <s v="U343"/>
    <n v="38"/>
    <x v="3"/>
    <x v="1"/>
    <n v="5.9"/>
    <x v="2"/>
    <n v="7"/>
    <n v="7"/>
    <n v="1"/>
    <n v="1"/>
    <x v="1"/>
    <x v="1"/>
    <n v="8"/>
  </r>
  <r>
    <s v="U374"/>
    <n v="46"/>
    <x v="1"/>
    <x v="0"/>
    <n v="4.4000000000000004"/>
    <x v="2"/>
    <n v="7"/>
    <n v="7"/>
    <n v="5"/>
    <n v="1"/>
    <x v="1"/>
    <x v="3"/>
    <n v="8"/>
  </r>
  <r>
    <s v="U426"/>
    <n v="29"/>
    <x v="2"/>
    <x v="1"/>
    <n v="6.2"/>
    <x v="1"/>
    <n v="6"/>
    <n v="9"/>
    <n v="2"/>
    <n v="1"/>
    <x v="1"/>
    <x v="3"/>
    <n v="8"/>
  </r>
  <r>
    <s v="U014"/>
    <n v="39"/>
    <x v="3"/>
    <x v="1"/>
    <n v="5.7"/>
    <x v="2"/>
    <n v="5"/>
    <n v="7"/>
    <n v="4"/>
    <n v="0"/>
    <x v="1"/>
    <x v="2"/>
    <n v="8"/>
  </r>
  <r>
    <s v="U164"/>
    <n v="26"/>
    <x v="2"/>
    <x v="0"/>
    <n v="6.6"/>
    <x v="1"/>
    <n v="6"/>
    <n v="8"/>
    <n v="4"/>
    <n v="0"/>
    <x v="1"/>
    <x v="2"/>
    <n v="8"/>
  </r>
  <r>
    <s v="U211"/>
    <n v="33"/>
    <x v="2"/>
    <x v="1"/>
    <n v="5"/>
    <x v="2"/>
    <n v="6"/>
    <n v="6"/>
    <n v="0"/>
    <n v="0"/>
    <x v="1"/>
    <x v="5"/>
    <n v="8"/>
  </r>
  <r>
    <s v="U232"/>
    <n v="42"/>
    <x v="3"/>
    <x v="0"/>
    <n v="6.1"/>
    <x v="1"/>
    <n v="7"/>
    <n v="6"/>
    <n v="4"/>
    <n v="0"/>
    <x v="1"/>
    <x v="5"/>
    <n v="8"/>
  </r>
  <r>
    <s v="U341"/>
    <n v="48"/>
    <x v="1"/>
    <x v="0"/>
    <n v="4.7"/>
    <x v="2"/>
    <n v="6"/>
    <n v="7"/>
    <n v="3"/>
    <n v="0"/>
    <x v="1"/>
    <x v="1"/>
    <n v="8"/>
  </r>
  <r>
    <s v="U423"/>
    <n v="36"/>
    <x v="3"/>
    <x v="0"/>
    <n v="7.7"/>
    <x v="1"/>
    <n v="5"/>
    <n v="8"/>
    <n v="4"/>
    <n v="0"/>
    <x v="1"/>
    <x v="4"/>
    <n v="8"/>
  </r>
  <r>
    <s v="U446"/>
    <n v="16"/>
    <x v="0"/>
    <x v="1"/>
    <n v="6.3"/>
    <x v="1"/>
    <n v="6"/>
    <n v="7"/>
    <n v="6"/>
    <n v="0"/>
    <x v="1"/>
    <x v="2"/>
    <n v="8"/>
  </r>
  <r>
    <s v="U153"/>
    <n v="47"/>
    <x v="1"/>
    <x v="1"/>
    <n v="2.4"/>
    <x v="3"/>
    <n v="7"/>
    <n v="7"/>
    <n v="5"/>
    <n v="6"/>
    <x v="2"/>
    <x v="4"/>
    <n v="9"/>
  </r>
  <r>
    <s v="U200"/>
    <n v="18"/>
    <x v="0"/>
    <x v="0"/>
    <n v="5.5"/>
    <x v="2"/>
    <n v="5"/>
    <n v="6"/>
    <n v="2"/>
    <n v="6"/>
    <x v="2"/>
    <x v="5"/>
    <n v="9"/>
  </r>
  <r>
    <s v="U113"/>
    <n v="37"/>
    <x v="3"/>
    <x v="1"/>
    <n v="4.3"/>
    <x v="2"/>
    <n v="6"/>
    <n v="8"/>
    <n v="3"/>
    <n v="5"/>
    <x v="2"/>
    <x v="4"/>
    <n v="9"/>
  </r>
  <r>
    <s v="U258"/>
    <n v="46"/>
    <x v="1"/>
    <x v="0"/>
    <n v="5.3"/>
    <x v="2"/>
    <n v="7"/>
    <n v="8"/>
    <n v="5"/>
    <n v="5"/>
    <x v="2"/>
    <x v="3"/>
    <n v="9"/>
  </r>
  <r>
    <s v="U277"/>
    <n v="35"/>
    <x v="3"/>
    <x v="0"/>
    <n v="6.1"/>
    <x v="1"/>
    <n v="7"/>
    <n v="8"/>
    <n v="3"/>
    <n v="5"/>
    <x v="2"/>
    <x v="0"/>
    <n v="9"/>
  </r>
  <r>
    <s v="U375"/>
    <n v="17"/>
    <x v="0"/>
    <x v="0"/>
    <n v="5.8"/>
    <x v="2"/>
    <n v="6"/>
    <n v="7"/>
    <n v="1"/>
    <n v="5"/>
    <x v="2"/>
    <x v="0"/>
    <n v="9"/>
  </r>
  <r>
    <s v="U493"/>
    <n v="27"/>
    <x v="2"/>
    <x v="1"/>
    <n v="4.5"/>
    <x v="2"/>
    <n v="5"/>
    <n v="7"/>
    <n v="6"/>
    <n v="5"/>
    <x v="2"/>
    <x v="2"/>
    <n v="9"/>
  </r>
  <r>
    <s v="U091"/>
    <n v="29"/>
    <x v="2"/>
    <x v="0"/>
    <n v="4"/>
    <x v="2"/>
    <n v="6"/>
    <n v="4"/>
    <n v="1"/>
    <n v="4"/>
    <x v="0"/>
    <x v="3"/>
    <n v="9"/>
  </r>
  <r>
    <s v="U117"/>
    <n v="43"/>
    <x v="3"/>
    <x v="0"/>
    <n v="4.3"/>
    <x v="2"/>
    <n v="7"/>
    <n v="6"/>
    <n v="3"/>
    <n v="4"/>
    <x v="0"/>
    <x v="4"/>
    <n v="9"/>
  </r>
  <r>
    <s v="U119"/>
    <n v="35"/>
    <x v="3"/>
    <x v="1"/>
    <n v="6.3"/>
    <x v="1"/>
    <n v="6"/>
    <n v="7"/>
    <n v="6"/>
    <n v="4"/>
    <x v="0"/>
    <x v="2"/>
    <n v="9"/>
  </r>
  <r>
    <s v="U214"/>
    <n v="31"/>
    <x v="2"/>
    <x v="1"/>
    <n v="5.5"/>
    <x v="2"/>
    <n v="7"/>
    <n v="7"/>
    <n v="2"/>
    <n v="4"/>
    <x v="0"/>
    <x v="4"/>
    <n v="9"/>
  </r>
  <r>
    <s v="U288"/>
    <n v="47"/>
    <x v="1"/>
    <x v="0"/>
    <n v="5.3"/>
    <x v="2"/>
    <n v="6"/>
    <n v="6"/>
    <n v="3"/>
    <n v="4"/>
    <x v="0"/>
    <x v="1"/>
    <n v="9"/>
  </r>
  <r>
    <s v="U290"/>
    <n v="37"/>
    <x v="3"/>
    <x v="1"/>
    <n v="3.3"/>
    <x v="2"/>
    <n v="7"/>
    <n v="5"/>
    <n v="6"/>
    <n v="4"/>
    <x v="0"/>
    <x v="2"/>
    <n v="9"/>
  </r>
  <r>
    <s v="U291"/>
    <n v="40"/>
    <x v="3"/>
    <x v="0"/>
    <n v="7.5"/>
    <x v="1"/>
    <n v="5"/>
    <n v="7"/>
    <n v="4"/>
    <n v="4"/>
    <x v="0"/>
    <x v="0"/>
    <n v="9"/>
  </r>
  <r>
    <s v="U468"/>
    <n v="43"/>
    <x v="3"/>
    <x v="0"/>
    <n v="5.0999999999999996"/>
    <x v="2"/>
    <n v="6"/>
    <n v="6"/>
    <n v="3"/>
    <n v="4"/>
    <x v="0"/>
    <x v="4"/>
    <n v="9"/>
  </r>
  <r>
    <s v="U015"/>
    <n v="45"/>
    <x v="1"/>
    <x v="0"/>
    <n v="6.3"/>
    <x v="1"/>
    <n v="7"/>
    <n v="7"/>
    <n v="4"/>
    <n v="3"/>
    <x v="0"/>
    <x v="5"/>
    <n v="9"/>
  </r>
  <r>
    <s v="U046"/>
    <n v="19"/>
    <x v="0"/>
    <x v="0"/>
    <n v="6.9"/>
    <x v="1"/>
    <n v="5"/>
    <n v="7"/>
    <n v="2"/>
    <n v="3"/>
    <x v="0"/>
    <x v="2"/>
    <n v="9"/>
  </r>
  <r>
    <s v="U048"/>
    <n v="33"/>
    <x v="2"/>
    <x v="1"/>
    <n v="4.0999999999999996"/>
    <x v="2"/>
    <n v="8"/>
    <n v="7"/>
    <n v="6"/>
    <n v="3"/>
    <x v="0"/>
    <x v="4"/>
    <n v="9"/>
  </r>
  <r>
    <s v="U064"/>
    <n v="44"/>
    <x v="3"/>
    <x v="1"/>
    <n v="4.4000000000000004"/>
    <x v="2"/>
    <n v="6"/>
    <n v="7"/>
    <n v="1"/>
    <n v="3"/>
    <x v="0"/>
    <x v="4"/>
    <n v="9"/>
  </r>
  <r>
    <s v="U107"/>
    <n v="38"/>
    <x v="3"/>
    <x v="0"/>
    <n v="6.2"/>
    <x v="1"/>
    <n v="7"/>
    <n v="7"/>
    <n v="1"/>
    <n v="3"/>
    <x v="0"/>
    <x v="1"/>
    <n v="9"/>
  </r>
  <r>
    <s v="U128"/>
    <n v="18"/>
    <x v="0"/>
    <x v="1"/>
    <n v="3.1"/>
    <x v="2"/>
    <n v="7"/>
    <n v="6"/>
    <n v="4"/>
    <n v="3"/>
    <x v="0"/>
    <x v="0"/>
    <n v="9"/>
  </r>
  <r>
    <s v="U134"/>
    <n v="39"/>
    <x v="3"/>
    <x v="1"/>
    <n v="5.6"/>
    <x v="2"/>
    <n v="8"/>
    <n v="6"/>
    <n v="2"/>
    <n v="3"/>
    <x v="0"/>
    <x v="4"/>
    <n v="9"/>
  </r>
  <r>
    <s v="U191"/>
    <n v="41"/>
    <x v="3"/>
    <x v="0"/>
    <n v="3.1"/>
    <x v="2"/>
    <n v="7"/>
    <n v="7"/>
    <n v="2"/>
    <n v="3"/>
    <x v="0"/>
    <x v="3"/>
    <n v="9"/>
  </r>
  <r>
    <s v="U202"/>
    <n v="39"/>
    <x v="3"/>
    <x v="0"/>
    <n v="4.3"/>
    <x v="2"/>
    <n v="9"/>
    <n v="7"/>
    <n v="1"/>
    <n v="3"/>
    <x v="0"/>
    <x v="0"/>
    <n v="9"/>
  </r>
  <r>
    <s v="U212"/>
    <n v="33"/>
    <x v="2"/>
    <x v="0"/>
    <n v="4.8"/>
    <x v="2"/>
    <n v="5"/>
    <n v="6"/>
    <n v="4"/>
    <n v="3"/>
    <x v="0"/>
    <x v="4"/>
    <n v="9"/>
  </r>
  <r>
    <s v="U229"/>
    <n v="45"/>
    <x v="1"/>
    <x v="1"/>
    <n v="6"/>
    <x v="1"/>
    <n v="8"/>
    <n v="7"/>
    <n v="2"/>
    <n v="3"/>
    <x v="0"/>
    <x v="2"/>
    <n v="9"/>
  </r>
  <r>
    <s v="U255"/>
    <n v="18"/>
    <x v="0"/>
    <x v="1"/>
    <n v="4.5999999999999996"/>
    <x v="2"/>
    <n v="8"/>
    <n v="7"/>
    <n v="6"/>
    <n v="3"/>
    <x v="0"/>
    <x v="0"/>
    <n v="9"/>
  </r>
  <r>
    <s v="U286"/>
    <n v="49"/>
    <x v="1"/>
    <x v="0"/>
    <n v="6.1"/>
    <x v="1"/>
    <n v="5"/>
    <n v="6"/>
    <n v="4"/>
    <n v="3"/>
    <x v="0"/>
    <x v="4"/>
    <n v="9"/>
  </r>
  <r>
    <s v="U311"/>
    <n v="41"/>
    <x v="3"/>
    <x v="1"/>
    <n v="4.9000000000000004"/>
    <x v="2"/>
    <n v="7"/>
    <n v="6"/>
    <n v="3"/>
    <n v="3"/>
    <x v="0"/>
    <x v="0"/>
    <n v="9"/>
  </r>
  <r>
    <s v="U324"/>
    <n v="44"/>
    <x v="3"/>
    <x v="1"/>
    <n v="7.5"/>
    <x v="1"/>
    <n v="7"/>
    <n v="8"/>
    <n v="4"/>
    <n v="3"/>
    <x v="0"/>
    <x v="3"/>
    <n v="9"/>
  </r>
  <r>
    <s v="U352"/>
    <n v="20"/>
    <x v="0"/>
    <x v="1"/>
    <n v="5"/>
    <x v="2"/>
    <n v="6"/>
    <n v="5"/>
    <n v="3"/>
    <n v="3"/>
    <x v="0"/>
    <x v="3"/>
    <n v="9"/>
  </r>
  <r>
    <s v="U353"/>
    <n v="19"/>
    <x v="0"/>
    <x v="1"/>
    <n v="6.1"/>
    <x v="1"/>
    <n v="6"/>
    <n v="8"/>
    <n v="3"/>
    <n v="3"/>
    <x v="0"/>
    <x v="5"/>
    <n v="9"/>
  </r>
  <r>
    <s v="U365"/>
    <n v="48"/>
    <x v="1"/>
    <x v="0"/>
    <n v="5.7"/>
    <x v="2"/>
    <n v="7"/>
    <n v="7"/>
    <n v="1"/>
    <n v="3"/>
    <x v="0"/>
    <x v="2"/>
    <n v="9"/>
  </r>
  <r>
    <s v="U410"/>
    <n v="27"/>
    <x v="2"/>
    <x v="1"/>
    <n v="5.2"/>
    <x v="2"/>
    <n v="4"/>
    <n v="7"/>
    <n v="7"/>
    <n v="3"/>
    <x v="0"/>
    <x v="0"/>
    <n v="9"/>
  </r>
  <r>
    <s v="U415"/>
    <n v="43"/>
    <x v="3"/>
    <x v="0"/>
    <n v="5.8"/>
    <x v="2"/>
    <n v="6"/>
    <n v="7"/>
    <n v="4"/>
    <n v="3"/>
    <x v="0"/>
    <x v="4"/>
    <n v="9"/>
  </r>
  <r>
    <s v="U438"/>
    <n v="28"/>
    <x v="2"/>
    <x v="0"/>
    <n v="4"/>
    <x v="2"/>
    <n v="7"/>
    <n v="5"/>
    <n v="1"/>
    <n v="3"/>
    <x v="0"/>
    <x v="4"/>
    <n v="9"/>
  </r>
  <r>
    <s v="U019"/>
    <n v="27"/>
    <x v="2"/>
    <x v="0"/>
    <n v="4.7"/>
    <x v="2"/>
    <n v="6"/>
    <n v="6"/>
    <n v="0"/>
    <n v="2"/>
    <x v="1"/>
    <x v="1"/>
    <n v="9"/>
  </r>
  <r>
    <s v="U031"/>
    <n v="19"/>
    <x v="0"/>
    <x v="0"/>
    <n v="7.1"/>
    <x v="1"/>
    <n v="5"/>
    <n v="8"/>
    <n v="5"/>
    <n v="2"/>
    <x v="1"/>
    <x v="5"/>
    <n v="9"/>
  </r>
  <r>
    <s v="U086"/>
    <n v="38"/>
    <x v="3"/>
    <x v="1"/>
    <n v="5.7"/>
    <x v="2"/>
    <n v="5"/>
    <n v="6"/>
    <n v="3"/>
    <n v="2"/>
    <x v="1"/>
    <x v="0"/>
    <n v="9"/>
  </r>
  <r>
    <s v="U092"/>
    <n v="18"/>
    <x v="0"/>
    <x v="0"/>
    <n v="5.5"/>
    <x v="2"/>
    <n v="6"/>
    <n v="6"/>
    <n v="4"/>
    <n v="2"/>
    <x v="1"/>
    <x v="4"/>
    <n v="9"/>
  </r>
  <r>
    <s v="U093"/>
    <n v="16"/>
    <x v="0"/>
    <x v="0"/>
    <n v="6.8"/>
    <x v="1"/>
    <n v="7"/>
    <n v="6"/>
    <n v="6"/>
    <n v="2"/>
    <x v="1"/>
    <x v="4"/>
    <n v="9"/>
  </r>
  <r>
    <s v="U104"/>
    <n v="47"/>
    <x v="1"/>
    <x v="0"/>
    <n v="6"/>
    <x v="1"/>
    <n v="6"/>
    <n v="7"/>
    <n v="6"/>
    <n v="2"/>
    <x v="1"/>
    <x v="2"/>
    <n v="9"/>
  </r>
  <r>
    <s v="U121"/>
    <n v="26"/>
    <x v="2"/>
    <x v="0"/>
    <n v="5.0999999999999996"/>
    <x v="2"/>
    <n v="6"/>
    <n v="5"/>
    <n v="5"/>
    <n v="2"/>
    <x v="1"/>
    <x v="5"/>
    <n v="9"/>
  </r>
  <r>
    <s v="U145"/>
    <n v="43"/>
    <x v="3"/>
    <x v="0"/>
    <n v="4.5999999999999996"/>
    <x v="2"/>
    <n v="8"/>
    <n v="7"/>
    <n v="0"/>
    <n v="2"/>
    <x v="1"/>
    <x v="0"/>
    <n v="9"/>
  </r>
  <r>
    <s v="U210"/>
    <n v="44"/>
    <x v="3"/>
    <x v="0"/>
    <n v="4.5"/>
    <x v="2"/>
    <n v="6"/>
    <n v="6"/>
    <n v="0"/>
    <n v="2"/>
    <x v="1"/>
    <x v="1"/>
    <n v="9"/>
  </r>
  <r>
    <s v="U220"/>
    <n v="35"/>
    <x v="3"/>
    <x v="1"/>
    <n v="5.3"/>
    <x v="2"/>
    <n v="6"/>
    <n v="6"/>
    <n v="3"/>
    <n v="2"/>
    <x v="1"/>
    <x v="5"/>
    <n v="9"/>
  </r>
  <r>
    <s v="U237"/>
    <n v="43"/>
    <x v="3"/>
    <x v="1"/>
    <n v="5.7"/>
    <x v="2"/>
    <n v="7"/>
    <n v="7"/>
    <n v="3"/>
    <n v="2"/>
    <x v="1"/>
    <x v="4"/>
    <n v="9"/>
  </r>
  <r>
    <s v="U238"/>
    <n v="48"/>
    <x v="1"/>
    <x v="0"/>
    <n v="7.2"/>
    <x v="1"/>
    <n v="6"/>
    <n v="8"/>
    <n v="6"/>
    <n v="2"/>
    <x v="1"/>
    <x v="2"/>
    <n v="9"/>
  </r>
  <r>
    <s v="U251"/>
    <n v="36"/>
    <x v="3"/>
    <x v="1"/>
    <n v="3.8"/>
    <x v="2"/>
    <n v="7"/>
    <n v="5"/>
    <n v="3"/>
    <n v="2"/>
    <x v="1"/>
    <x v="2"/>
    <n v="9"/>
  </r>
  <r>
    <s v="U299"/>
    <n v="19"/>
    <x v="0"/>
    <x v="1"/>
    <n v="6.7"/>
    <x v="1"/>
    <n v="6"/>
    <n v="5"/>
    <n v="4"/>
    <n v="2"/>
    <x v="1"/>
    <x v="2"/>
    <n v="9"/>
  </r>
  <r>
    <s v="U327"/>
    <n v="41"/>
    <x v="3"/>
    <x v="0"/>
    <n v="3.9"/>
    <x v="2"/>
    <n v="6"/>
    <n v="4"/>
    <n v="5"/>
    <n v="2"/>
    <x v="1"/>
    <x v="0"/>
    <n v="9"/>
  </r>
  <r>
    <s v="U340"/>
    <n v="36"/>
    <x v="3"/>
    <x v="1"/>
    <n v="6.1"/>
    <x v="1"/>
    <n v="7"/>
    <n v="7"/>
    <n v="5"/>
    <n v="2"/>
    <x v="1"/>
    <x v="3"/>
    <n v="9"/>
  </r>
  <r>
    <s v="U381"/>
    <n v="41"/>
    <x v="3"/>
    <x v="1"/>
    <n v="5.6"/>
    <x v="2"/>
    <n v="6"/>
    <n v="7"/>
    <n v="2"/>
    <n v="2"/>
    <x v="1"/>
    <x v="1"/>
    <n v="9"/>
  </r>
  <r>
    <s v="U383"/>
    <n v="41"/>
    <x v="3"/>
    <x v="0"/>
    <n v="4.7"/>
    <x v="2"/>
    <n v="6"/>
    <n v="6"/>
    <n v="1"/>
    <n v="2"/>
    <x v="1"/>
    <x v="5"/>
    <n v="9"/>
  </r>
  <r>
    <s v="U395"/>
    <n v="47"/>
    <x v="1"/>
    <x v="1"/>
    <n v="5.2"/>
    <x v="2"/>
    <n v="7"/>
    <n v="7"/>
    <n v="3"/>
    <n v="2"/>
    <x v="1"/>
    <x v="2"/>
    <n v="9"/>
  </r>
  <r>
    <s v="U401"/>
    <n v="38"/>
    <x v="3"/>
    <x v="1"/>
    <n v="7.2"/>
    <x v="1"/>
    <n v="5"/>
    <n v="8"/>
    <n v="1"/>
    <n v="2"/>
    <x v="1"/>
    <x v="3"/>
    <n v="9"/>
  </r>
  <r>
    <s v="U417"/>
    <n v="46"/>
    <x v="1"/>
    <x v="0"/>
    <n v="8"/>
    <x v="0"/>
    <n v="4"/>
    <n v="8"/>
    <n v="3"/>
    <n v="2"/>
    <x v="1"/>
    <x v="2"/>
    <n v="9"/>
  </r>
  <r>
    <s v="U435"/>
    <n v="25"/>
    <x v="2"/>
    <x v="1"/>
    <n v="6.9"/>
    <x v="1"/>
    <n v="7"/>
    <n v="7"/>
    <n v="0"/>
    <n v="2"/>
    <x v="1"/>
    <x v="0"/>
    <n v="9"/>
  </r>
  <r>
    <s v="U440"/>
    <n v="42"/>
    <x v="3"/>
    <x v="0"/>
    <n v="4.0999999999999996"/>
    <x v="2"/>
    <n v="6"/>
    <n v="6"/>
    <n v="4"/>
    <n v="2"/>
    <x v="1"/>
    <x v="2"/>
    <n v="9"/>
  </r>
  <r>
    <s v="U497"/>
    <n v="43"/>
    <x v="3"/>
    <x v="1"/>
    <n v="5.6"/>
    <x v="2"/>
    <n v="7"/>
    <n v="6"/>
    <n v="5"/>
    <n v="2"/>
    <x v="1"/>
    <x v="2"/>
    <n v="9"/>
  </r>
  <r>
    <s v="U499"/>
    <n v="23"/>
    <x v="0"/>
    <x v="0"/>
    <n v="4.2"/>
    <x v="2"/>
    <n v="9"/>
    <n v="7"/>
    <n v="0"/>
    <n v="2"/>
    <x v="1"/>
    <x v="2"/>
    <n v="9"/>
  </r>
  <r>
    <s v="U009"/>
    <n v="39"/>
    <x v="3"/>
    <x v="0"/>
    <n v="4.7"/>
    <x v="2"/>
    <n v="7"/>
    <n v="7"/>
    <n v="6"/>
    <n v="1"/>
    <x v="1"/>
    <x v="3"/>
    <n v="9"/>
  </r>
  <r>
    <s v="U023"/>
    <n v="43"/>
    <x v="3"/>
    <x v="0"/>
    <n v="3.6"/>
    <x v="2"/>
    <n v="8"/>
    <n v="5"/>
    <n v="3"/>
    <n v="1"/>
    <x v="1"/>
    <x v="2"/>
    <n v="9"/>
  </r>
  <r>
    <s v="U049"/>
    <n v="41"/>
    <x v="3"/>
    <x v="0"/>
    <n v="3.7"/>
    <x v="2"/>
    <n v="8"/>
    <n v="6"/>
    <n v="3"/>
    <n v="1"/>
    <x v="1"/>
    <x v="0"/>
    <n v="9"/>
  </r>
  <r>
    <s v="U050"/>
    <n v="49"/>
    <x v="1"/>
    <x v="0"/>
    <n v="3.6"/>
    <x v="2"/>
    <n v="7"/>
    <n v="5"/>
    <n v="4"/>
    <n v="1"/>
    <x v="1"/>
    <x v="0"/>
    <n v="9"/>
  </r>
  <r>
    <s v="U058"/>
    <n v="36"/>
    <x v="3"/>
    <x v="1"/>
    <n v="4.3"/>
    <x v="2"/>
    <n v="7"/>
    <n v="6"/>
    <n v="4"/>
    <n v="1"/>
    <x v="1"/>
    <x v="5"/>
    <n v="9"/>
  </r>
  <r>
    <s v="U062"/>
    <n v="41"/>
    <x v="3"/>
    <x v="1"/>
    <n v="5.6"/>
    <x v="2"/>
    <n v="6"/>
    <n v="7"/>
    <n v="2"/>
    <n v="1"/>
    <x v="1"/>
    <x v="0"/>
    <n v="9"/>
  </r>
  <r>
    <s v="U118"/>
    <n v="43"/>
    <x v="3"/>
    <x v="1"/>
    <n v="6.4"/>
    <x v="1"/>
    <n v="6"/>
    <n v="7"/>
    <n v="1"/>
    <n v="1"/>
    <x v="1"/>
    <x v="1"/>
    <n v="9"/>
  </r>
  <r>
    <s v="U125"/>
    <n v="16"/>
    <x v="0"/>
    <x v="0"/>
    <n v="5.5"/>
    <x v="2"/>
    <n v="7"/>
    <n v="7"/>
    <n v="4"/>
    <n v="1"/>
    <x v="1"/>
    <x v="1"/>
    <n v="9"/>
  </r>
  <r>
    <s v="U126"/>
    <n v="42"/>
    <x v="3"/>
    <x v="0"/>
    <n v="5.7"/>
    <x v="2"/>
    <n v="7"/>
    <n v="7"/>
    <n v="0"/>
    <n v="1"/>
    <x v="1"/>
    <x v="4"/>
    <n v="9"/>
  </r>
  <r>
    <s v="U147"/>
    <n v="47"/>
    <x v="1"/>
    <x v="0"/>
    <n v="6.2"/>
    <x v="1"/>
    <n v="5"/>
    <n v="7"/>
    <n v="6"/>
    <n v="1"/>
    <x v="1"/>
    <x v="3"/>
    <n v="9"/>
  </r>
  <r>
    <s v="U239"/>
    <n v="20"/>
    <x v="0"/>
    <x v="1"/>
    <n v="5.0999999999999996"/>
    <x v="2"/>
    <n v="4"/>
    <n v="5"/>
    <n v="2"/>
    <n v="1"/>
    <x v="1"/>
    <x v="4"/>
    <n v="9"/>
  </r>
  <r>
    <s v="U246"/>
    <n v="21"/>
    <x v="0"/>
    <x v="1"/>
    <n v="4.5"/>
    <x v="2"/>
    <n v="6"/>
    <n v="6"/>
    <n v="4"/>
    <n v="1"/>
    <x v="1"/>
    <x v="4"/>
    <n v="9"/>
  </r>
  <r>
    <s v="U312"/>
    <n v="38"/>
    <x v="3"/>
    <x v="0"/>
    <n v="4.5"/>
    <x v="2"/>
    <n v="7"/>
    <n v="6"/>
    <n v="2"/>
    <n v="1"/>
    <x v="1"/>
    <x v="0"/>
    <n v="9"/>
  </r>
  <r>
    <s v="U386"/>
    <n v="19"/>
    <x v="0"/>
    <x v="0"/>
    <n v="2.7"/>
    <x v="3"/>
    <n v="8"/>
    <n v="5"/>
    <n v="2"/>
    <n v="1"/>
    <x v="1"/>
    <x v="4"/>
    <n v="9"/>
  </r>
  <r>
    <s v="U394"/>
    <n v="33"/>
    <x v="2"/>
    <x v="1"/>
    <n v="6.2"/>
    <x v="1"/>
    <n v="6"/>
    <n v="7"/>
    <n v="4"/>
    <n v="1"/>
    <x v="1"/>
    <x v="2"/>
    <n v="9"/>
  </r>
  <r>
    <s v="U414"/>
    <n v="22"/>
    <x v="0"/>
    <x v="1"/>
    <n v="5.9"/>
    <x v="2"/>
    <n v="5"/>
    <n v="6"/>
    <n v="2"/>
    <n v="1"/>
    <x v="1"/>
    <x v="4"/>
    <n v="9"/>
  </r>
  <r>
    <s v="U428"/>
    <n v="20"/>
    <x v="0"/>
    <x v="0"/>
    <n v="3.2"/>
    <x v="2"/>
    <n v="7"/>
    <n v="5"/>
    <n v="5"/>
    <n v="1"/>
    <x v="1"/>
    <x v="5"/>
    <n v="9"/>
  </r>
  <r>
    <s v="U456"/>
    <n v="25"/>
    <x v="2"/>
    <x v="0"/>
    <n v="4.0999999999999996"/>
    <x v="2"/>
    <n v="6"/>
    <n v="5"/>
    <n v="5"/>
    <n v="1"/>
    <x v="1"/>
    <x v="5"/>
    <n v="9"/>
  </r>
  <r>
    <s v="U461"/>
    <n v="43"/>
    <x v="3"/>
    <x v="0"/>
    <n v="6"/>
    <x v="1"/>
    <n v="6"/>
    <n v="5"/>
    <n v="5"/>
    <n v="1"/>
    <x v="1"/>
    <x v="1"/>
    <n v="9"/>
  </r>
  <r>
    <s v="U479"/>
    <n v="33"/>
    <x v="2"/>
    <x v="0"/>
    <n v="6.8"/>
    <x v="1"/>
    <n v="6"/>
    <n v="8"/>
    <n v="2"/>
    <n v="1"/>
    <x v="1"/>
    <x v="0"/>
    <n v="9"/>
  </r>
  <r>
    <s v="U485"/>
    <n v="31"/>
    <x v="2"/>
    <x v="1"/>
    <n v="3.7"/>
    <x v="2"/>
    <n v="7"/>
    <n v="7"/>
    <n v="0"/>
    <n v="1"/>
    <x v="1"/>
    <x v="4"/>
    <n v="9"/>
  </r>
  <r>
    <s v="U105"/>
    <n v="19"/>
    <x v="0"/>
    <x v="0"/>
    <n v="7.2"/>
    <x v="1"/>
    <n v="5"/>
    <n v="6"/>
    <n v="1"/>
    <n v="0"/>
    <x v="1"/>
    <x v="4"/>
    <n v="9"/>
  </r>
  <r>
    <s v="U130"/>
    <n v="23"/>
    <x v="0"/>
    <x v="0"/>
    <n v="5.9"/>
    <x v="2"/>
    <n v="5"/>
    <n v="5"/>
    <n v="4"/>
    <n v="0"/>
    <x v="1"/>
    <x v="5"/>
    <n v="9"/>
  </r>
  <r>
    <s v="U178"/>
    <n v="47"/>
    <x v="1"/>
    <x v="0"/>
    <n v="5.0999999999999996"/>
    <x v="2"/>
    <n v="7"/>
    <n v="4"/>
    <n v="2"/>
    <n v="0"/>
    <x v="1"/>
    <x v="0"/>
    <n v="9"/>
  </r>
  <r>
    <s v="U274"/>
    <n v="39"/>
    <x v="3"/>
    <x v="0"/>
    <n v="6.9"/>
    <x v="1"/>
    <n v="5"/>
    <n v="7"/>
    <n v="3"/>
    <n v="0"/>
    <x v="1"/>
    <x v="3"/>
    <n v="9"/>
  </r>
  <r>
    <s v="U315"/>
    <n v="16"/>
    <x v="0"/>
    <x v="1"/>
    <n v="5.3"/>
    <x v="2"/>
    <n v="6"/>
    <n v="6"/>
    <n v="6"/>
    <n v="0"/>
    <x v="1"/>
    <x v="2"/>
    <n v="9"/>
  </r>
  <r>
    <s v="U372"/>
    <n v="28"/>
    <x v="2"/>
    <x v="1"/>
    <n v="5"/>
    <x v="2"/>
    <n v="7"/>
    <n v="5"/>
    <n v="4"/>
    <n v="0"/>
    <x v="1"/>
    <x v="4"/>
    <n v="9"/>
  </r>
  <r>
    <s v="U040"/>
    <n v="23"/>
    <x v="0"/>
    <x v="1"/>
    <n v="1"/>
    <x v="3"/>
    <n v="9"/>
    <n v="5"/>
    <n v="5"/>
    <n v="7"/>
    <x v="2"/>
    <x v="2"/>
    <n v="10"/>
  </r>
  <r>
    <s v="U490"/>
    <n v="47"/>
    <x v="1"/>
    <x v="1"/>
    <n v="4.9000000000000004"/>
    <x v="2"/>
    <n v="7"/>
    <n v="7"/>
    <n v="1"/>
    <n v="7"/>
    <x v="2"/>
    <x v="1"/>
    <n v="10"/>
  </r>
  <r>
    <s v="U095"/>
    <n v="41"/>
    <x v="3"/>
    <x v="1"/>
    <n v="1"/>
    <x v="3"/>
    <n v="7"/>
    <n v="5"/>
    <n v="2"/>
    <n v="6"/>
    <x v="2"/>
    <x v="0"/>
    <n v="10"/>
  </r>
  <r>
    <s v="U295"/>
    <n v="30"/>
    <x v="2"/>
    <x v="1"/>
    <n v="1.7"/>
    <x v="3"/>
    <n v="9"/>
    <n v="4"/>
    <n v="3"/>
    <n v="6"/>
    <x v="2"/>
    <x v="0"/>
    <n v="10"/>
  </r>
  <r>
    <s v="U001"/>
    <n v="44"/>
    <x v="3"/>
    <x v="0"/>
    <n v="3.1"/>
    <x v="2"/>
    <n v="7"/>
    <n v="6"/>
    <n v="2"/>
    <n v="5"/>
    <x v="2"/>
    <x v="2"/>
    <n v="10"/>
  </r>
  <r>
    <s v="U016"/>
    <n v="17"/>
    <x v="0"/>
    <x v="1"/>
    <n v="5.0999999999999996"/>
    <x v="2"/>
    <n v="7"/>
    <n v="6"/>
    <n v="2"/>
    <n v="5"/>
    <x v="2"/>
    <x v="4"/>
    <n v="10"/>
  </r>
  <r>
    <s v="U073"/>
    <n v="39"/>
    <x v="3"/>
    <x v="0"/>
    <n v="6.1"/>
    <x v="1"/>
    <n v="5"/>
    <n v="5"/>
    <n v="1"/>
    <n v="5"/>
    <x v="2"/>
    <x v="0"/>
    <n v="10"/>
  </r>
  <r>
    <s v="U174"/>
    <n v="41"/>
    <x v="3"/>
    <x v="0"/>
    <n v="4.9000000000000004"/>
    <x v="2"/>
    <n v="7"/>
    <n v="5"/>
    <n v="5"/>
    <n v="5"/>
    <x v="2"/>
    <x v="3"/>
    <n v="10"/>
  </r>
  <r>
    <s v="U187"/>
    <n v="46"/>
    <x v="1"/>
    <x v="1"/>
    <n v="3.6"/>
    <x v="2"/>
    <n v="9"/>
    <n v="5"/>
    <n v="4"/>
    <n v="5"/>
    <x v="2"/>
    <x v="0"/>
    <n v="10"/>
  </r>
  <r>
    <s v="U243"/>
    <n v="43"/>
    <x v="3"/>
    <x v="0"/>
    <n v="4.8"/>
    <x v="2"/>
    <n v="6"/>
    <n v="5"/>
    <n v="3"/>
    <n v="5"/>
    <x v="2"/>
    <x v="3"/>
    <n v="10"/>
  </r>
  <r>
    <s v="U278"/>
    <n v="16"/>
    <x v="0"/>
    <x v="1"/>
    <n v="5"/>
    <x v="2"/>
    <n v="7"/>
    <n v="6"/>
    <n v="1"/>
    <n v="5"/>
    <x v="2"/>
    <x v="3"/>
    <n v="10"/>
  </r>
  <r>
    <s v="U279"/>
    <n v="23"/>
    <x v="0"/>
    <x v="0"/>
    <n v="2.5"/>
    <x v="3"/>
    <n v="9"/>
    <n v="5"/>
    <n v="7"/>
    <n v="5"/>
    <x v="2"/>
    <x v="5"/>
    <n v="10"/>
  </r>
  <r>
    <s v="U281"/>
    <n v="29"/>
    <x v="2"/>
    <x v="1"/>
    <n v="5.2"/>
    <x v="2"/>
    <n v="7"/>
    <n v="6"/>
    <n v="1"/>
    <n v="5"/>
    <x v="2"/>
    <x v="3"/>
    <n v="10"/>
  </r>
  <r>
    <s v="U283"/>
    <n v="38"/>
    <x v="3"/>
    <x v="1"/>
    <n v="1.5"/>
    <x v="3"/>
    <n v="9"/>
    <n v="4"/>
    <n v="5"/>
    <n v="5"/>
    <x v="2"/>
    <x v="4"/>
    <n v="10"/>
  </r>
  <r>
    <s v="U301"/>
    <n v="47"/>
    <x v="1"/>
    <x v="1"/>
    <n v="4"/>
    <x v="2"/>
    <n v="8"/>
    <n v="4"/>
    <n v="3"/>
    <n v="5"/>
    <x v="2"/>
    <x v="2"/>
    <n v="10"/>
  </r>
  <r>
    <s v="U411"/>
    <n v="34"/>
    <x v="2"/>
    <x v="0"/>
    <n v="3.8"/>
    <x v="2"/>
    <n v="7"/>
    <n v="6"/>
    <n v="7"/>
    <n v="5"/>
    <x v="2"/>
    <x v="0"/>
    <n v="10"/>
  </r>
  <r>
    <s v="U424"/>
    <n v="38"/>
    <x v="3"/>
    <x v="1"/>
    <n v="6.2"/>
    <x v="1"/>
    <n v="7"/>
    <n v="6"/>
    <n v="6"/>
    <n v="5"/>
    <x v="2"/>
    <x v="4"/>
    <n v="10"/>
  </r>
  <r>
    <s v="U452"/>
    <n v="21"/>
    <x v="0"/>
    <x v="1"/>
    <n v="2.5"/>
    <x v="3"/>
    <n v="9"/>
    <n v="3"/>
    <n v="2"/>
    <n v="5"/>
    <x v="2"/>
    <x v="0"/>
    <n v="10"/>
  </r>
  <r>
    <s v="U463"/>
    <n v="43"/>
    <x v="3"/>
    <x v="1"/>
    <n v="2.6"/>
    <x v="3"/>
    <n v="9"/>
    <n v="5"/>
    <n v="4"/>
    <n v="5"/>
    <x v="2"/>
    <x v="1"/>
    <n v="10"/>
  </r>
  <r>
    <s v="U474"/>
    <n v="31"/>
    <x v="2"/>
    <x v="1"/>
    <n v="5.7"/>
    <x v="2"/>
    <n v="7"/>
    <n v="5"/>
    <n v="3"/>
    <n v="5"/>
    <x v="2"/>
    <x v="1"/>
    <n v="10"/>
  </r>
  <r>
    <s v="U018"/>
    <n v="48"/>
    <x v="1"/>
    <x v="0"/>
    <n v="5.4"/>
    <x v="2"/>
    <n v="6"/>
    <n v="4"/>
    <n v="3"/>
    <n v="4"/>
    <x v="0"/>
    <x v="0"/>
    <n v="10"/>
  </r>
  <r>
    <s v="U020"/>
    <n v="37"/>
    <x v="3"/>
    <x v="0"/>
    <n v="7.1"/>
    <x v="1"/>
    <n v="6"/>
    <n v="6"/>
    <n v="5"/>
    <n v="4"/>
    <x v="0"/>
    <x v="0"/>
    <n v="10"/>
  </r>
  <r>
    <s v="U021"/>
    <n v="40"/>
    <x v="3"/>
    <x v="1"/>
    <n v="3"/>
    <x v="2"/>
    <n v="8"/>
    <n v="5"/>
    <n v="5"/>
    <n v="4"/>
    <x v="0"/>
    <x v="5"/>
    <n v="10"/>
  </r>
  <r>
    <s v="U132"/>
    <n v="24"/>
    <x v="0"/>
    <x v="0"/>
    <n v="4.8"/>
    <x v="2"/>
    <n v="8"/>
    <n v="4"/>
    <n v="6"/>
    <n v="4"/>
    <x v="0"/>
    <x v="4"/>
    <n v="10"/>
  </r>
  <r>
    <s v="U137"/>
    <n v="47"/>
    <x v="1"/>
    <x v="1"/>
    <n v="5.8"/>
    <x v="2"/>
    <n v="6"/>
    <n v="7"/>
    <n v="3"/>
    <n v="4"/>
    <x v="0"/>
    <x v="0"/>
    <n v="10"/>
  </r>
  <r>
    <s v="U155"/>
    <n v="47"/>
    <x v="1"/>
    <x v="1"/>
    <n v="3.3"/>
    <x v="2"/>
    <n v="8"/>
    <n v="5"/>
    <n v="4"/>
    <n v="4"/>
    <x v="0"/>
    <x v="3"/>
    <n v="10"/>
  </r>
  <r>
    <s v="U156"/>
    <n v="19"/>
    <x v="0"/>
    <x v="1"/>
    <n v="5.2"/>
    <x v="2"/>
    <n v="7"/>
    <n v="5"/>
    <n v="4"/>
    <n v="4"/>
    <x v="0"/>
    <x v="4"/>
    <n v="10"/>
  </r>
  <r>
    <s v="U168"/>
    <n v="21"/>
    <x v="0"/>
    <x v="0"/>
    <n v="5.0999999999999996"/>
    <x v="2"/>
    <n v="6"/>
    <n v="5"/>
    <n v="4"/>
    <n v="4"/>
    <x v="0"/>
    <x v="5"/>
    <n v="10"/>
  </r>
  <r>
    <s v="U190"/>
    <n v="31"/>
    <x v="2"/>
    <x v="1"/>
    <n v="4.0999999999999996"/>
    <x v="2"/>
    <n v="8"/>
    <n v="6"/>
    <n v="0"/>
    <n v="4"/>
    <x v="0"/>
    <x v="5"/>
    <n v="10"/>
  </r>
  <r>
    <s v="U219"/>
    <n v="36"/>
    <x v="3"/>
    <x v="1"/>
    <n v="5"/>
    <x v="2"/>
    <n v="8"/>
    <n v="6"/>
    <n v="4"/>
    <n v="4"/>
    <x v="0"/>
    <x v="4"/>
    <n v="10"/>
  </r>
  <r>
    <s v="U263"/>
    <n v="38"/>
    <x v="3"/>
    <x v="1"/>
    <n v="2.7"/>
    <x v="3"/>
    <n v="6"/>
    <n v="3"/>
    <n v="4"/>
    <n v="4"/>
    <x v="0"/>
    <x v="3"/>
    <n v="10"/>
  </r>
  <r>
    <s v="U272"/>
    <n v="41"/>
    <x v="3"/>
    <x v="0"/>
    <n v="3.2"/>
    <x v="2"/>
    <n v="8"/>
    <n v="6"/>
    <n v="0"/>
    <n v="4"/>
    <x v="0"/>
    <x v="5"/>
    <n v="10"/>
  </r>
  <r>
    <s v="U316"/>
    <n v="16"/>
    <x v="0"/>
    <x v="0"/>
    <n v="3.6"/>
    <x v="2"/>
    <n v="7"/>
    <n v="5"/>
    <n v="5"/>
    <n v="4"/>
    <x v="0"/>
    <x v="0"/>
    <n v="10"/>
  </r>
  <r>
    <s v="U336"/>
    <n v="27"/>
    <x v="2"/>
    <x v="0"/>
    <n v="3.8"/>
    <x v="2"/>
    <n v="8"/>
    <n v="6"/>
    <n v="6"/>
    <n v="4"/>
    <x v="0"/>
    <x v="2"/>
    <n v="10"/>
  </r>
  <r>
    <s v="U349"/>
    <n v="34"/>
    <x v="2"/>
    <x v="0"/>
    <n v="4.0999999999999996"/>
    <x v="2"/>
    <n v="8"/>
    <n v="4"/>
    <n v="5"/>
    <n v="4"/>
    <x v="0"/>
    <x v="4"/>
    <n v="10"/>
  </r>
  <r>
    <s v="U357"/>
    <n v="17"/>
    <x v="0"/>
    <x v="1"/>
    <n v="2.5"/>
    <x v="3"/>
    <n v="9"/>
    <n v="4"/>
    <n v="5"/>
    <n v="4"/>
    <x v="0"/>
    <x v="3"/>
    <n v="10"/>
  </r>
  <r>
    <s v="U368"/>
    <n v="16"/>
    <x v="0"/>
    <x v="0"/>
    <n v="2.5"/>
    <x v="3"/>
    <n v="8"/>
    <n v="4"/>
    <n v="4"/>
    <n v="4"/>
    <x v="0"/>
    <x v="3"/>
    <n v="10"/>
  </r>
  <r>
    <s v="U385"/>
    <n v="22"/>
    <x v="0"/>
    <x v="1"/>
    <n v="3.4"/>
    <x v="2"/>
    <n v="8"/>
    <n v="6"/>
    <n v="4"/>
    <n v="4"/>
    <x v="0"/>
    <x v="5"/>
    <n v="10"/>
  </r>
  <r>
    <s v="U388"/>
    <n v="44"/>
    <x v="3"/>
    <x v="1"/>
    <n v="2.2000000000000002"/>
    <x v="3"/>
    <n v="9"/>
    <n v="4"/>
    <n v="4"/>
    <n v="4"/>
    <x v="0"/>
    <x v="3"/>
    <n v="10"/>
  </r>
  <r>
    <s v="U398"/>
    <n v="47"/>
    <x v="1"/>
    <x v="1"/>
    <n v="3.8"/>
    <x v="2"/>
    <n v="8"/>
    <n v="4"/>
    <n v="2"/>
    <n v="4"/>
    <x v="0"/>
    <x v="4"/>
    <n v="10"/>
  </r>
  <r>
    <s v="U399"/>
    <n v="27"/>
    <x v="2"/>
    <x v="0"/>
    <n v="3.9"/>
    <x v="2"/>
    <n v="7"/>
    <n v="5"/>
    <n v="0"/>
    <n v="4"/>
    <x v="0"/>
    <x v="3"/>
    <n v="10"/>
  </r>
  <r>
    <s v="U407"/>
    <n v="37"/>
    <x v="3"/>
    <x v="1"/>
    <n v="4.4000000000000004"/>
    <x v="2"/>
    <n v="7"/>
    <n v="6"/>
    <n v="5"/>
    <n v="4"/>
    <x v="0"/>
    <x v="3"/>
    <n v="10"/>
  </r>
  <r>
    <s v="U418"/>
    <n v="34"/>
    <x v="2"/>
    <x v="1"/>
    <n v="5.4"/>
    <x v="2"/>
    <n v="4"/>
    <n v="5"/>
    <n v="4"/>
    <n v="4"/>
    <x v="0"/>
    <x v="5"/>
    <n v="10"/>
  </r>
  <r>
    <s v="U419"/>
    <n v="31"/>
    <x v="2"/>
    <x v="0"/>
    <n v="4.5"/>
    <x v="2"/>
    <n v="8"/>
    <n v="5"/>
    <n v="0"/>
    <n v="4"/>
    <x v="0"/>
    <x v="1"/>
    <n v="10"/>
  </r>
  <r>
    <s v="U425"/>
    <n v="31"/>
    <x v="2"/>
    <x v="1"/>
    <n v="5"/>
    <x v="2"/>
    <n v="7"/>
    <n v="6"/>
    <n v="3"/>
    <n v="4"/>
    <x v="0"/>
    <x v="0"/>
    <n v="10"/>
  </r>
  <r>
    <s v="U478"/>
    <n v="35"/>
    <x v="3"/>
    <x v="0"/>
    <n v="3.3"/>
    <x v="2"/>
    <n v="9"/>
    <n v="6"/>
    <n v="4"/>
    <n v="4"/>
    <x v="0"/>
    <x v="3"/>
    <n v="10"/>
  </r>
  <r>
    <s v="U051"/>
    <n v="25"/>
    <x v="2"/>
    <x v="1"/>
    <n v="2"/>
    <x v="3"/>
    <n v="9"/>
    <n v="4"/>
    <n v="5"/>
    <n v="3"/>
    <x v="0"/>
    <x v="5"/>
    <n v="10"/>
  </r>
  <r>
    <s v="U053"/>
    <n v="46"/>
    <x v="1"/>
    <x v="1"/>
    <n v="3.6"/>
    <x v="2"/>
    <n v="7"/>
    <n v="5"/>
    <n v="3"/>
    <n v="3"/>
    <x v="0"/>
    <x v="3"/>
    <n v="10"/>
  </r>
  <r>
    <s v="U056"/>
    <n v="29"/>
    <x v="2"/>
    <x v="1"/>
    <n v="4"/>
    <x v="2"/>
    <n v="7"/>
    <n v="3"/>
    <n v="3"/>
    <n v="3"/>
    <x v="0"/>
    <x v="0"/>
    <n v="10"/>
  </r>
  <r>
    <s v="U061"/>
    <n v="39"/>
    <x v="3"/>
    <x v="0"/>
    <n v="2.7"/>
    <x v="3"/>
    <n v="9"/>
    <n v="5"/>
    <n v="1"/>
    <n v="3"/>
    <x v="0"/>
    <x v="0"/>
    <n v="10"/>
  </r>
  <r>
    <s v="U063"/>
    <n v="40"/>
    <x v="3"/>
    <x v="1"/>
    <n v="4.5999999999999996"/>
    <x v="2"/>
    <n v="7"/>
    <n v="7"/>
    <n v="1"/>
    <n v="3"/>
    <x v="0"/>
    <x v="5"/>
    <n v="10"/>
  </r>
  <r>
    <s v="U070"/>
    <n v="39"/>
    <x v="3"/>
    <x v="0"/>
    <n v="3.4"/>
    <x v="2"/>
    <n v="8"/>
    <n v="6"/>
    <n v="7"/>
    <n v="3"/>
    <x v="0"/>
    <x v="4"/>
    <n v="10"/>
  </r>
  <r>
    <s v="U096"/>
    <n v="29"/>
    <x v="2"/>
    <x v="0"/>
    <n v="3.9"/>
    <x v="2"/>
    <n v="7"/>
    <n v="6"/>
    <n v="2"/>
    <n v="3"/>
    <x v="0"/>
    <x v="0"/>
    <n v="10"/>
  </r>
  <r>
    <s v="U100"/>
    <n v="30"/>
    <x v="2"/>
    <x v="1"/>
    <n v="3.5"/>
    <x v="2"/>
    <n v="8"/>
    <n v="4"/>
    <n v="3"/>
    <n v="3"/>
    <x v="0"/>
    <x v="2"/>
    <n v="10"/>
  </r>
  <r>
    <s v="U101"/>
    <n v="41"/>
    <x v="3"/>
    <x v="0"/>
    <n v="2.5"/>
    <x v="3"/>
    <n v="9"/>
    <n v="4"/>
    <n v="6"/>
    <n v="3"/>
    <x v="0"/>
    <x v="1"/>
    <n v="10"/>
  </r>
  <r>
    <s v="U115"/>
    <n v="17"/>
    <x v="0"/>
    <x v="1"/>
    <n v="4.8"/>
    <x v="2"/>
    <n v="7"/>
    <n v="6"/>
    <n v="3"/>
    <n v="3"/>
    <x v="0"/>
    <x v="0"/>
    <n v="10"/>
  </r>
  <r>
    <s v="U124"/>
    <n v="48"/>
    <x v="1"/>
    <x v="0"/>
    <n v="2.8"/>
    <x v="3"/>
    <n v="7"/>
    <n v="5"/>
    <n v="5"/>
    <n v="3"/>
    <x v="0"/>
    <x v="3"/>
    <n v="10"/>
  </r>
  <r>
    <s v="U148"/>
    <n v="48"/>
    <x v="1"/>
    <x v="0"/>
    <n v="4.5999999999999996"/>
    <x v="2"/>
    <n v="7"/>
    <n v="5"/>
    <n v="2"/>
    <n v="3"/>
    <x v="0"/>
    <x v="0"/>
    <n v="10"/>
  </r>
  <r>
    <s v="U150"/>
    <n v="34"/>
    <x v="2"/>
    <x v="1"/>
    <n v="1.8"/>
    <x v="3"/>
    <n v="9"/>
    <n v="7"/>
    <n v="3"/>
    <n v="3"/>
    <x v="0"/>
    <x v="4"/>
    <n v="10"/>
  </r>
  <r>
    <s v="U192"/>
    <n v="17"/>
    <x v="0"/>
    <x v="1"/>
    <n v="4.9000000000000004"/>
    <x v="2"/>
    <n v="7"/>
    <n v="6"/>
    <n v="3"/>
    <n v="3"/>
    <x v="0"/>
    <x v="5"/>
    <n v="10"/>
  </r>
  <r>
    <s v="U197"/>
    <n v="24"/>
    <x v="0"/>
    <x v="0"/>
    <n v="4.4000000000000004"/>
    <x v="2"/>
    <n v="8"/>
    <n v="7"/>
    <n v="6"/>
    <n v="3"/>
    <x v="0"/>
    <x v="1"/>
    <n v="10"/>
  </r>
  <r>
    <s v="U199"/>
    <n v="31"/>
    <x v="2"/>
    <x v="1"/>
    <n v="5"/>
    <x v="2"/>
    <n v="7"/>
    <n v="5"/>
    <n v="2"/>
    <n v="3"/>
    <x v="0"/>
    <x v="5"/>
    <n v="10"/>
  </r>
  <r>
    <s v="U216"/>
    <n v="19"/>
    <x v="0"/>
    <x v="1"/>
    <n v="8.6999999999999993"/>
    <x v="0"/>
    <n v="6"/>
    <n v="7"/>
    <n v="5"/>
    <n v="3"/>
    <x v="0"/>
    <x v="3"/>
    <n v="10"/>
  </r>
  <r>
    <s v="U230"/>
    <n v="23"/>
    <x v="0"/>
    <x v="0"/>
    <n v="4.0999999999999996"/>
    <x v="2"/>
    <n v="8"/>
    <n v="5"/>
    <n v="6"/>
    <n v="3"/>
    <x v="0"/>
    <x v="4"/>
    <n v="10"/>
  </r>
  <r>
    <s v="U235"/>
    <n v="45"/>
    <x v="1"/>
    <x v="1"/>
    <n v="4.5"/>
    <x v="2"/>
    <n v="8"/>
    <n v="6"/>
    <n v="1"/>
    <n v="3"/>
    <x v="0"/>
    <x v="2"/>
    <n v="10"/>
  </r>
  <r>
    <s v="U329"/>
    <n v="37"/>
    <x v="3"/>
    <x v="1"/>
    <n v="3.8"/>
    <x v="2"/>
    <n v="7"/>
    <n v="4"/>
    <n v="2"/>
    <n v="3"/>
    <x v="0"/>
    <x v="0"/>
    <n v="10"/>
  </r>
  <r>
    <s v="U334"/>
    <n v="45"/>
    <x v="1"/>
    <x v="0"/>
    <n v="5.2"/>
    <x v="2"/>
    <n v="7"/>
    <n v="4"/>
    <n v="3"/>
    <n v="3"/>
    <x v="0"/>
    <x v="5"/>
    <n v="10"/>
  </r>
  <r>
    <s v="U367"/>
    <n v="18"/>
    <x v="0"/>
    <x v="0"/>
    <n v="3.2"/>
    <x v="2"/>
    <n v="9"/>
    <n v="5"/>
    <n v="1"/>
    <n v="3"/>
    <x v="0"/>
    <x v="1"/>
    <n v="10"/>
  </r>
  <r>
    <s v="U379"/>
    <n v="23"/>
    <x v="0"/>
    <x v="0"/>
    <n v="1.5"/>
    <x v="3"/>
    <n v="9"/>
    <n v="3"/>
    <n v="2"/>
    <n v="3"/>
    <x v="0"/>
    <x v="0"/>
    <n v="10"/>
  </r>
  <r>
    <s v="U400"/>
    <n v="28"/>
    <x v="2"/>
    <x v="0"/>
    <n v="3.7"/>
    <x v="2"/>
    <n v="8"/>
    <n v="5"/>
    <n v="4"/>
    <n v="3"/>
    <x v="0"/>
    <x v="3"/>
    <n v="10"/>
  </r>
  <r>
    <s v="U408"/>
    <n v="28"/>
    <x v="2"/>
    <x v="0"/>
    <n v="2.6"/>
    <x v="3"/>
    <n v="10"/>
    <n v="3"/>
    <n v="4"/>
    <n v="3"/>
    <x v="0"/>
    <x v="1"/>
    <n v="10"/>
  </r>
  <r>
    <s v="U412"/>
    <n v="27"/>
    <x v="2"/>
    <x v="0"/>
    <n v="6.5"/>
    <x v="1"/>
    <n v="7"/>
    <n v="7"/>
    <n v="2"/>
    <n v="3"/>
    <x v="0"/>
    <x v="2"/>
    <n v="10"/>
  </r>
  <r>
    <s v="U454"/>
    <n v="34"/>
    <x v="2"/>
    <x v="1"/>
    <n v="5.5"/>
    <x v="2"/>
    <n v="6"/>
    <n v="5"/>
    <n v="4"/>
    <n v="3"/>
    <x v="0"/>
    <x v="2"/>
    <n v="10"/>
  </r>
  <r>
    <s v="U457"/>
    <n v="41"/>
    <x v="3"/>
    <x v="1"/>
    <n v="2.9"/>
    <x v="3"/>
    <n v="8"/>
    <n v="3"/>
    <n v="0"/>
    <n v="3"/>
    <x v="0"/>
    <x v="4"/>
    <n v="10"/>
  </r>
  <r>
    <s v="U465"/>
    <n v="16"/>
    <x v="0"/>
    <x v="1"/>
    <n v="3.5"/>
    <x v="2"/>
    <n v="8"/>
    <n v="5"/>
    <n v="4"/>
    <n v="3"/>
    <x v="0"/>
    <x v="0"/>
    <n v="10"/>
  </r>
  <r>
    <s v="U466"/>
    <n v="18"/>
    <x v="0"/>
    <x v="0"/>
    <n v="4.2"/>
    <x v="2"/>
    <n v="7"/>
    <n v="7"/>
    <n v="2"/>
    <n v="3"/>
    <x v="0"/>
    <x v="0"/>
    <n v="10"/>
  </r>
  <r>
    <s v="U484"/>
    <n v="18"/>
    <x v="0"/>
    <x v="0"/>
    <n v="4.3"/>
    <x v="2"/>
    <n v="7"/>
    <n v="7"/>
    <n v="3"/>
    <n v="3"/>
    <x v="0"/>
    <x v="0"/>
    <n v="10"/>
  </r>
  <r>
    <s v="U487"/>
    <n v="26"/>
    <x v="2"/>
    <x v="0"/>
    <n v="3.9"/>
    <x v="2"/>
    <n v="8"/>
    <n v="5"/>
    <n v="2"/>
    <n v="3"/>
    <x v="0"/>
    <x v="1"/>
    <n v="10"/>
  </r>
  <r>
    <s v="U029"/>
    <n v="24"/>
    <x v="0"/>
    <x v="0"/>
    <n v="4.3"/>
    <x v="2"/>
    <n v="6"/>
    <n v="6"/>
    <n v="5"/>
    <n v="2"/>
    <x v="1"/>
    <x v="5"/>
    <n v="10"/>
  </r>
  <r>
    <s v="U033"/>
    <n v="29"/>
    <x v="2"/>
    <x v="1"/>
    <n v="3.1"/>
    <x v="2"/>
    <n v="8"/>
    <n v="4"/>
    <n v="2"/>
    <n v="2"/>
    <x v="1"/>
    <x v="4"/>
    <n v="10"/>
  </r>
  <r>
    <s v="U052"/>
    <n v="29"/>
    <x v="2"/>
    <x v="1"/>
    <n v="3.3"/>
    <x v="2"/>
    <n v="7"/>
    <n v="5"/>
    <n v="1"/>
    <n v="2"/>
    <x v="1"/>
    <x v="3"/>
    <n v="10"/>
  </r>
  <r>
    <s v="U087"/>
    <n v="39"/>
    <x v="3"/>
    <x v="0"/>
    <n v="2.4"/>
    <x v="3"/>
    <n v="7"/>
    <n v="4"/>
    <n v="4"/>
    <n v="2"/>
    <x v="1"/>
    <x v="2"/>
    <n v="10"/>
  </r>
  <r>
    <s v="U116"/>
    <n v="21"/>
    <x v="0"/>
    <x v="1"/>
    <n v="4"/>
    <x v="2"/>
    <n v="9"/>
    <n v="5"/>
    <n v="3"/>
    <n v="2"/>
    <x v="1"/>
    <x v="5"/>
    <n v="10"/>
  </r>
  <r>
    <s v="U122"/>
    <n v="43"/>
    <x v="3"/>
    <x v="1"/>
    <n v="5.5"/>
    <x v="2"/>
    <n v="8"/>
    <n v="6"/>
    <n v="5"/>
    <n v="2"/>
    <x v="1"/>
    <x v="0"/>
    <n v="10"/>
  </r>
  <r>
    <s v="U141"/>
    <n v="18"/>
    <x v="0"/>
    <x v="0"/>
    <n v="4.8"/>
    <x v="2"/>
    <n v="6"/>
    <n v="5"/>
    <n v="1"/>
    <n v="2"/>
    <x v="1"/>
    <x v="2"/>
    <n v="10"/>
  </r>
  <r>
    <s v="U149"/>
    <n v="16"/>
    <x v="0"/>
    <x v="1"/>
    <n v="5.3"/>
    <x v="2"/>
    <n v="7"/>
    <n v="6"/>
    <n v="3"/>
    <n v="2"/>
    <x v="1"/>
    <x v="2"/>
    <n v="10"/>
  </r>
  <r>
    <s v="U169"/>
    <n v="31"/>
    <x v="2"/>
    <x v="0"/>
    <n v="4.2"/>
    <x v="2"/>
    <n v="8"/>
    <n v="6"/>
    <n v="3"/>
    <n v="2"/>
    <x v="1"/>
    <x v="1"/>
    <n v="10"/>
  </r>
  <r>
    <s v="U170"/>
    <n v="44"/>
    <x v="3"/>
    <x v="0"/>
    <n v="4.3"/>
    <x v="2"/>
    <n v="8"/>
    <n v="6"/>
    <n v="6"/>
    <n v="2"/>
    <x v="1"/>
    <x v="1"/>
    <n v="10"/>
  </r>
  <r>
    <s v="U183"/>
    <n v="26"/>
    <x v="2"/>
    <x v="1"/>
    <n v="3.8"/>
    <x v="2"/>
    <n v="10"/>
    <n v="6"/>
    <n v="5"/>
    <n v="2"/>
    <x v="1"/>
    <x v="4"/>
    <n v="10"/>
  </r>
  <r>
    <s v="U206"/>
    <n v="23"/>
    <x v="0"/>
    <x v="0"/>
    <n v="3.5"/>
    <x v="2"/>
    <n v="9"/>
    <n v="5"/>
    <n v="4"/>
    <n v="2"/>
    <x v="1"/>
    <x v="2"/>
    <n v="10"/>
  </r>
  <r>
    <s v="U245"/>
    <n v="44"/>
    <x v="3"/>
    <x v="0"/>
    <n v="3.6"/>
    <x v="2"/>
    <n v="8"/>
    <n v="5"/>
    <n v="0"/>
    <n v="2"/>
    <x v="1"/>
    <x v="5"/>
    <n v="10"/>
  </r>
  <r>
    <s v="U267"/>
    <n v="41"/>
    <x v="3"/>
    <x v="1"/>
    <n v="2.6"/>
    <x v="3"/>
    <n v="8"/>
    <n v="4"/>
    <n v="2"/>
    <n v="2"/>
    <x v="1"/>
    <x v="5"/>
    <n v="10"/>
  </r>
  <r>
    <s v="U270"/>
    <n v="24"/>
    <x v="0"/>
    <x v="1"/>
    <n v="5.8"/>
    <x v="2"/>
    <n v="8"/>
    <n v="6"/>
    <n v="1"/>
    <n v="2"/>
    <x v="1"/>
    <x v="3"/>
    <n v="10"/>
  </r>
  <r>
    <s v="U276"/>
    <n v="22"/>
    <x v="0"/>
    <x v="0"/>
    <n v="4.3"/>
    <x v="2"/>
    <n v="7"/>
    <n v="5"/>
    <n v="4"/>
    <n v="2"/>
    <x v="1"/>
    <x v="5"/>
    <n v="10"/>
  </r>
  <r>
    <s v="U285"/>
    <n v="43"/>
    <x v="3"/>
    <x v="1"/>
    <n v="3.4"/>
    <x v="2"/>
    <n v="7"/>
    <n v="7"/>
    <n v="4"/>
    <n v="2"/>
    <x v="1"/>
    <x v="5"/>
    <n v="10"/>
  </r>
  <r>
    <s v="U294"/>
    <n v="21"/>
    <x v="0"/>
    <x v="0"/>
    <n v="5"/>
    <x v="2"/>
    <n v="7"/>
    <n v="6"/>
    <n v="5"/>
    <n v="2"/>
    <x v="1"/>
    <x v="5"/>
    <n v="10"/>
  </r>
  <r>
    <s v="U300"/>
    <n v="21"/>
    <x v="0"/>
    <x v="1"/>
    <n v="3"/>
    <x v="2"/>
    <n v="8"/>
    <n v="5"/>
    <n v="3"/>
    <n v="2"/>
    <x v="1"/>
    <x v="4"/>
    <n v="10"/>
  </r>
  <r>
    <s v="U306"/>
    <n v="34"/>
    <x v="2"/>
    <x v="1"/>
    <n v="5.3"/>
    <x v="2"/>
    <n v="6"/>
    <n v="6"/>
    <n v="6"/>
    <n v="2"/>
    <x v="1"/>
    <x v="3"/>
    <n v="10"/>
  </r>
  <r>
    <s v="U320"/>
    <n v="16"/>
    <x v="0"/>
    <x v="1"/>
    <n v="5.5"/>
    <x v="2"/>
    <n v="9"/>
    <n v="5"/>
    <n v="6"/>
    <n v="2"/>
    <x v="1"/>
    <x v="2"/>
    <n v="10"/>
  </r>
  <r>
    <s v="U325"/>
    <n v="18"/>
    <x v="0"/>
    <x v="0"/>
    <n v="1.7"/>
    <x v="3"/>
    <n v="9"/>
    <n v="3"/>
    <n v="1"/>
    <n v="2"/>
    <x v="1"/>
    <x v="5"/>
    <n v="10"/>
  </r>
  <r>
    <s v="U330"/>
    <n v="44"/>
    <x v="3"/>
    <x v="0"/>
    <n v="6.7"/>
    <x v="1"/>
    <n v="8"/>
    <n v="6"/>
    <n v="4"/>
    <n v="2"/>
    <x v="1"/>
    <x v="2"/>
    <n v="10"/>
  </r>
  <r>
    <s v="U332"/>
    <n v="43"/>
    <x v="3"/>
    <x v="1"/>
    <n v="4.3"/>
    <x v="2"/>
    <n v="6"/>
    <n v="3"/>
    <n v="3"/>
    <n v="2"/>
    <x v="1"/>
    <x v="0"/>
    <n v="10"/>
  </r>
  <r>
    <s v="U345"/>
    <n v="20"/>
    <x v="0"/>
    <x v="1"/>
    <n v="3.6"/>
    <x v="2"/>
    <n v="6"/>
    <n v="5"/>
    <n v="2"/>
    <n v="2"/>
    <x v="1"/>
    <x v="5"/>
    <n v="10"/>
  </r>
  <r>
    <s v="U369"/>
    <n v="48"/>
    <x v="1"/>
    <x v="1"/>
    <n v="3.9"/>
    <x v="2"/>
    <n v="6"/>
    <n v="5"/>
    <n v="0"/>
    <n v="2"/>
    <x v="1"/>
    <x v="4"/>
    <n v="10"/>
  </r>
  <r>
    <s v="U380"/>
    <n v="44"/>
    <x v="3"/>
    <x v="1"/>
    <n v="4.3"/>
    <x v="2"/>
    <n v="8"/>
    <n v="7"/>
    <n v="4"/>
    <n v="2"/>
    <x v="1"/>
    <x v="0"/>
    <n v="10"/>
  </r>
  <r>
    <s v="U442"/>
    <n v="20"/>
    <x v="0"/>
    <x v="0"/>
    <n v="3.3"/>
    <x v="2"/>
    <n v="8"/>
    <n v="4"/>
    <n v="7"/>
    <n v="2"/>
    <x v="1"/>
    <x v="0"/>
    <n v="10"/>
  </r>
  <r>
    <s v="U444"/>
    <n v="34"/>
    <x v="2"/>
    <x v="0"/>
    <n v="4.2"/>
    <x v="2"/>
    <n v="8"/>
    <n v="4"/>
    <n v="4"/>
    <n v="2"/>
    <x v="1"/>
    <x v="0"/>
    <n v="10"/>
  </r>
  <r>
    <s v="U458"/>
    <n v="34"/>
    <x v="2"/>
    <x v="0"/>
    <n v="2.1"/>
    <x v="3"/>
    <n v="9"/>
    <n v="4"/>
    <n v="5"/>
    <n v="2"/>
    <x v="1"/>
    <x v="2"/>
    <n v="10"/>
  </r>
  <r>
    <s v="U469"/>
    <n v="40"/>
    <x v="3"/>
    <x v="0"/>
    <n v="4.0999999999999996"/>
    <x v="2"/>
    <n v="6"/>
    <n v="7"/>
    <n v="1"/>
    <n v="2"/>
    <x v="1"/>
    <x v="2"/>
    <n v="10"/>
  </r>
  <r>
    <s v="U496"/>
    <n v="23"/>
    <x v="0"/>
    <x v="0"/>
    <n v="6.9"/>
    <x v="1"/>
    <n v="5"/>
    <n v="7"/>
    <n v="4"/>
    <n v="2"/>
    <x v="1"/>
    <x v="5"/>
    <n v="10"/>
  </r>
  <r>
    <s v="U038"/>
    <n v="43"/>
    <x v="3"/>
    <x v="1"/>
    <n v="4.3"/>
    <x v="2"/>
    <n v="8"/>
    <n v="4"/>
    <n v="1"/>
    <n v="1"/>
    <x v="1"/>
    <x v="0"/>
    <n v="10"/>
  </r>
  <r>
    <s v="U041"/>
    <n v="29"/>
    <x v="2"/>
    <x v="0"/>
    <n v="7.2"/>
    <x v="1"/>
    <n v="5"/>
    <n v="7"/>
    <n v="4"/>
    <n v="1"/>
    <x v="1"/>
    <x v="5"/>
    <n v="10"/>
  </r>
  <r>
    <s v="U066"/>
    <n v="16"/>
    <x v="0"/>
    <x v="0"/>
    <n v="4.4000000000000004"/>
    <x v="2"/>
    <n v="8"/>
    <n v="4"/>
    <n v="5"/>
    <n v="1"/>
    <x v="1"/>
    <x v="3"/>
    <n v="10"/>
  </r>
  <r>
    <s v="U067"/>
    <n v="40"/>
    <x v="3"/>
    <x v="0"/>
    <n v="4.5999999999999996"/>
    <x v="2"/>
    <n v="7"/>
    <n v="6"/>
    <n v="2"/>
    <n v="1"/>
    <x v="1"/>
    <x v="3"/>
    <n v="10"/>
  </r>
  <r>
    <s v="U068"/>
    <n v="22"/>
    <x v="0"/>
    <x v="0"/>
    <n v="5.2"/>
    <x v="2"/>
    <n v="9"/>
    <n v="7"/>
    <n v="5"/>
    <n v="1"/>
    <x v="1"/>
    <x v="0"/>
    <n v="10"/>
  </r>
  <r>
    <s v="U076"/>
    <n v="23"/>
    <x v="0"/>
    <x v="0"/>
    <n v="4.2"/>
    <x v="2"/>
    <n v="7"/>
    <n v="5"/>
    <n v="0"/>
    <n v="1"/>
    <x v="1"/>
    <x v="5"/>
    <n v="10"/>
  </r>
  <r>
    <s v="U088"/>
    <n v="37"/>
    <x v="3"/>
    <x v="1"/>
    <n v="3.2"/>
    <x v="2"/>
    <n v="8"/>
    <n v="7"/>
    <n v="3"/>
    <n v="1"/>
    <x v="1"/>
    <x v="5"/>
    <n v="10"/>
  </r>
  <r>
    <s v="U108"/>
    <n v="30"/>
    <x v="2"/>
    <x v="0"/>
    <n v="6.8"/>
    <x v="1"/>
    <n v="7"/>
    <n v="7"/>
    <n v="2"/>
    <n v="1"/>
    <x v="1"/>
    <x v="5"/>
    <n v="10"/>
  </r>
  <r>
    <s v="U136"/>
    <n v="47"/>
    <x v="1"/>
    <x v="1"/>
    <n v="2.9"/>
    <x v="3"/>
    <n v="8"/>
    <n v="5"/>
    <n v="0"/>
    <n v="1"/>
    <x v="1"/>
    <x v="1"/>
    <n v="10"/>
  </r>
  <r>
    <s v="U139"/>
    <n v="27"/>
    <x v="2"/>
    <x v="0"/>
    <n v="5.2"/>
    <x v="2"/>
    <n v="7"/>
    <n v="5"/>
    <n v="2"/>
    <n v="1"/>
    <x v="1"/>
    <x v="4"/>
    <n v="10"/>
  </r>
  <r>
    <s v="U140"/>
    <n v="17"/>
    <x v="0"/>
    <x v="1"/>
    <n v="4.8"/>
    <x v="2"/>
    <n v="8"/>
    <n v="5"/>
    <n v="4"/>
    <n v="1"/>
    <x v="1"/>
    <x v="5"/>
    <n v="10"/>
  </r>
  <r>
    <s v="U142"/>
    <n v="32"/>
    <x v="2"/>
    <x v="0"/>
    <n v="5.8"/>
    <x v="2"/>
    <n v="6"/>
    <n v="6"/>
    <n v="3"/>
    <n v="1"/>
    <x v="1"/>
    <x v="2"/>
    <n v="10"/>
  </r>
  <r>
    <s v="U143"/>
    <n v="17"/>
    <x v="0"/>
    <x v="0"/>
    <n v="2.2000000000000002"/>
    <x v="3"/>
    <n v="10"/>
    <n v="5"/>
    <n v="4"/>
    <n v="1"/>
    <x v="1"/>
    <x v="4"/>
    <n v="10"/>
  </r>
  <r>
    <s v="U146"/>
    <n v="38"/>
    <x v="3"/>
    <x v="0"/>
    <n v="5.7"/>
    <x v="2"/>
    <n v="7"/>
    <n v="5"/>
    <n v="2"/>
    <n v="1"/>
    <x v="1"/>
    <x v="4"/>
    <n v="10"/>
  </r>
  <r>
    <s v="U195"/>
    <n v="20"/>
    <x v="0"/>
    <x v="0"/>
    <n v="2.6"/>
    <x v="3"/>
    <n v="9"/>
    <n v="4"/>
    <n v="4"/>
    <n v="1"/>
    <x v="1"/>
    <x v="0"/>
    <n v="10"/>
  </r>
  <r>
    <s v="U224"/>
    <n v="32"/>
    <x v="2"/>
    <x v="1"/>
    <n v="3.6"/>
    <x v="2"/>
    <n v="7"/>
    <n v="5"/>
    <n v="3"/>
    <n v="1"/>
    <x v="1"/>
    <x v="2"/>
    <n v="10"/>
  </r>
  <r>
    <s v="U228"/>
    <n v="37"/>
    <x v="3"/>
    <x v="1"/>
    <n v="4.7"/>
    <x v="2"/>
    <n v="9"/>
    <n v="6"/>
    <n v="3"/>
    <n v="1"/>
    <x v="1"/>
    <x v="3"/>
    <n v="10"/>
  </r>
  <r>
    <s v="U261"/>
    <n v="47"/>
    <x v="1"/>
    <x v="1"/>
    <n v="2.1"/>
    <x v="3"/>
    <n v="8"/>
    <n v="4"/>
    <n v="5"/>
    <n v="1"/>
    <x v="1"/>
    <x v="5"/>
    <n v="10"/>
  </r>
  <r>
    <s v="U358"/>
    <n v="43"/>
    <x v="3"/>
    <x v="0"/>
    <n v="3.8"/>
    <x v="2"/>
    <n v="8"/>
    <n v="5"/>
    <n v="4"/>
    <n v="1"/>
    <x v="1"/>
    <x v="4"/>
    <n v="10"/>
  </r>
  <r>
    <s v="U366"/>
    <n v="27"/>
    <x v="2"/>
    <x v="1"/>
    <n v="3.6"/>
    <x v="2"/>
    <n v="8"/>
    <n v="5"/>
    <n v="2"/>
    <n v="1"/>
    <x v="1"/>
    <x v="0"/>
    <n v="10"/>
  </r>
  <r>
    <s v="U371"/>
    <n v="44"/>
    <x v="3"/>
    <x v="0"/>
    <n v="2.7"/>
    <x v="3"/>
    <n v="9"/>
    <n v="5"/>
    <n v="5"/>
    <n v="1"/>
    <x v="1"/>
    <x v="0"/>
    <n v="10"/>
  </r>
  <r>
    <s v="U376"/>
    <n v="38"/>
    <x v="3"/>
    <x v="1"/>
    <n v="4.2"/>
    <x v="2"/>
    <n v="8"/>
    <n v="5"/>
    <n v="6"/>
    <n v="1"/>
    <x v="1"/>
    <x v="5"/>
    <n v="10"/>
  </r>
  <r>
    <s v="U403"/>
    <n v="45"/>
    <x v="1"/>
    <x v="0"/>
    <n v="2.1"/>
    <x v="3"/>
    <n v="10"/>
    <n v="5"/>
    <n v="6"/>
    <n v="1"/>
    <x v="1"/>
    <x v="2"/>
    <n v="10"/>
  </r>
  <r>
    <s v="U430"/>
    <n v="44"/>
    <x v="3"/>
    <x v="0"/>
    <n v="5"/>
    <x v="2"/>
    <n v="6"/>
    <n v="5"/>
    <n v="3"/>
    <n v="1"/>
    <x v="1"/>
    <x v="5"/>
    <n v="10"/>
  </r>
  <r>
    <s v="U431"/>
    <n v="26"/>
    <x v="2"/>
    <x v="1"/>
    <n v="5"/>
    <x v="2"/>
    <n v="6"/>
    <n v="6"/>
    <n v="3"/>
    <n v="1"/>
    <x v="1"/>
    <x v="0"/>
    <n v="10"/>
  </r>
  <r>
    <s v="U472"/>
    <n v="47"/>
    <x v="1"/>
    <x v="1"/>
    <n v="6.8"/>
    <x v="1"/>
    <n v="5"/>
    <n v="4"/>
    <n v="3"/>
    <n v="1"/>
    <x v="1"/>
    <x v="1"/>
    <n v="10"/>
  </r>
  <r>
    <s v="U492"/>
    <n v="23"/>
    <x v="0"/>
    <x v="0"/>
    <n v="3.3"/>
    <x v="2"/>
    <n v="10"/>
    <n v="4"/>
    <n v="2"/>
    <n v="1"/>
    <x v="1"/>
    <x v="3"/>
    <n v="10"/>
  </r>
  <r>
    <s v="U028"/>
    <n v="36"/>
    <x v="3"/>
    <x v="1"/>
    <n v="2"/>
    <x v="3"/>
    <n v="8"/>
    <n v="4"/>
    <n v="5"/>
    <n v="0"/>
    <x v="1"/>
    <x v="2"/>
    <n v="10"/>
  </r>
  <r>
    <s v="U043"/>
    <n v="19"/>
    <x v="0"/>
    <x v="0"/>
    <n v="2.5"/>
    <x v="3"/>
    <n v="9"/>
    <n v="3"/>
    <n v="0"/>
    <n v="0"/>
    <x v="1"/>
    <x v="4"/>
    <n v="10"/>
  </r>
  <r>
    <s v="U090"/>
    <n v="16"/>
    <x v="0"/>
    <x v="0"/>
    <n v="3.8"/>
    <x v="2"/>
    <n v="10"/>
    <n v="6"/>
    <n v="5"/>
    <n v="0"/>
    <x v="1"/>
    <x v="5"/>
    <n v="10"/>
  </r>
  <r>
    <s v="U163"/>
    <n v="37"/>
    <x v="3"/>
    <x v="1"/>
    <n v="5.3"/>
    <x v="2"/>
    <n v="7"/>
    <n v="6"/>
    <n v="4"/>
    <n v="0"/>
    <x v="1"/>
    <x v="1"/>
    <n v="10"/>
  </r>
  <r>
    <s v="U176"/>
    <n v="34"/>
    <x v="2"/>
    <x v="0"/>
    <n v="5.4"/>
    <x v="2"/>
    <n v="6"/>
    <n v="6"/>
    <n v="4"/>
    <n v="0"/>
    <x v="1"/>
    <x v="1"/>
    <n v="10"/>
  </r>
  <r>
    <s v="U201"/>
    <n v="35"/>
    <x v="3"/>
    <x v="1"/>
    <n v="5.2"/>
    <x v="2"/>
    <n v="7"/>
    <n v="6"/>
    <n v="4"/>
    <n v="0"/>
    <x v="1"/>
    <x v="2"/>
    <n v="10"/>
  </r>
  <r>
    <s v="U217"/>
    <n v="48"/>
    <x v="1"/>
    <x v="0"/>
    <n v="3.9"/>
    <x v="2"/>
    <n v="9"/>
    <n v="5"/>
    <n v="1"/>
    <n v="0"/>
    <x v="1"/>
    <x v="5"/>
    <n v="10"/>
  </r>
  <r>
    <s v="U253"/>
    <n v="38"/>
    <x v="3"/>
    <x v="1"/>
    <n v="3.5"/>
    <x v="2"/>
    <n v="9"/>
    <n v="4"/>
    <n v="0"/>
    <n v="0"/>
    <x v="1"/>
    <x v="2"/>
    <n v="10"/>
  </r>
  <r>
    <s v="U262"/>
    <n v="37"/>
    <x v="3"/>
    <x v="1"/>
    <n v="3.9"/>
    <x v="2"/>
    <n v="8"/>
    <n v="6"/>
    <n v="3"/>
    <n v="0"/>
    <x v="1"/>
    <x v="4"/>
    <n v="10"/>
  </r>
  <r>
    <s v="U355"/>
    <n v="39"/>
    <x v="3"/>
    <x v="1"/>
    <n v="6.5"/>
    <x v="1"/>
    <n v="5"/>
    <n v="5"/>
    <n v="5"/>
    <n v="0"/>
    <x v="1"/>
    <x v="1"/>
    <n v="10"/>
  </r>
  <r>
    <s v="U364"/>
    <n v="48"/>
    <x v="1"/>
    <x v="1"/>
    <n v="5"/>
    <x v="2"/>
    <n v="8"/>
    <n v="6"/>
    <n v="5"/>
    <n v="0"/>
    <x v="1"/>
    <x v="4"/>
    <n v="10"/>
  </r>
  <r>
    <s v="U384"/>
    <n v="49"/>
    <x v="1"/>
    <x v="0"/>
    <n v="5.5"/>
    <x v="2"/>
    <n v="7"/>
    <n v="5"/>
    <n v="5"/>
    <n v="0"/>
    <x v="1"/>
    <x v="1"/>
    <n v="10"/>
  </r>
  <r>
    <s v="U402"/>
    <n v="40"/>
    <x v="3"/>
    <x v="0"/>
    <n v="4.4000000000000004"/>
    <x v="2"/>
    <n v="7"/>
    <n v="5"/>
    <n v="4"/>
    <n v="0"/>
    <x v="1"/>
    <x v="3"/>
    <n v="10"/>
  </r>
  <r>
    <s v="U477"/>
    <n v="34"/>
    <x v="2"/>
    <x v="0"/>
    <n v="3.4"/>
    <x v="2"/>
    <n v="8"/>
    <n v="5"/>
    <n v="4"/>
    <n v="0"/>
    <x v="1"/>
    <x v="5"/>
    <n v="10"/>
  </r>
  <r>
    <s v="U494"/>
    <n v="39"/>
    <x v="3"/>
    <x v="1"/>
    <n v="3"/>
    <x v="2"/>
    <n v="7"/>
    <n v="2"/>
    <n v="1"/>
    <n v="0"/>
    <x v="1"/>
    <x v="2"/>
    <n v="10"/>
  </r>
  <r>
    <s v="U495"/>
    <n v="43"/>
    <x v="3"/>
    <x v="1"/>
    <n v="5.6"/>
    <x v="2"/>
    <n v="8"/>
    <n v="6"/>
    <n v="2"/>
    <n v="0"/>
    <x v="1"/>
    <x v="1"/>
    <n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7">
  <r>
    <s v="U264"/>
    <n v="17"/>
    <x v="0"/>
    <x v="0"/>
    <n v="9.1"/>
    <x v="0"/>
    <n v="4"/>
    <n v="9"/>
    <n v="7"/>
    <n v="4"/>
    <s v="Intermediate (3–4 days)"/>
    <x v="0"/>
    <n v="4"/>
  </r>
  <r>
    <s v="U249"/>
    <n v="46"/>
    <x v="1"/>
    <x v="1"/>
    <n v="10.8"/>
    <x v="0"/>
    <n v="5"/>
    <n v="10"/>
    <n v="2"/>
    <n v="3"/>
    <s v="Intermediate (3–4 days)"/>
    <x v="1"/>
    <n v="4"/>
  </r>
  <r>
    <s v="U480"/>
    <n v="29"/>
    <x v="2"/>
    <x v="1"/>
    <n v="9"/>
    <x v="0"/>
    <n v="4"/>
    <n v="10"/>
    <n v="3"/>
    <n v="3"/>
    <s v="Intermediate (3–4 days)"/>
    <x v="0"/>
    <n v="4"/>
  </r>
  <r>
    <s v="U057"/>
    <n v="38"/>
    <x v="3"/>
    <x v="1"/>
    <n v="9.6999999999999993"/>
    <x v="0"/>
    <n v="3"/>
    <n v="9"/>
    <n v="3"/>
    <n v="2"/>
    <s v="Beginners (0–2 days)"/>
    <x v="2"/>
    <n v="4"/>
  </r>
  <r>
    <s v="U203"/>
    <n v="48"/>
    <x v="1"/>
    <x v="1"/>
    <n v="10"/>
    <x v="0"/>
    <n v="3"/>
    <n v="10"/>
    <n v="3"/>
    <n v="2"/>
    <s v="Beginners (0–2 days)"/>
    <x v="0"/>
    <n v="4"/>
  </r>
  <r>
    <s v="U441"/>
    <n v="17"/>
    <x v="0"/>
    <x v="1"/>
    <n v="9.5"/>
    <x v="0"/>
    <n v="4"/>
    <n v="9"/>
    <n v="2"/>
    <n v="2"/>
    <s v="Beginners (0–2 days)"/>
    <x v="3"/>
    <n v="4"/>
  </r>
  <r>
    <s v="U482"/>
    <n v="46"/>
    <x v="1"/>
    <x v="1"/>
    <n v="8.6"/>
    <x v="0"/>
    <n v="4"/>
    <n v="8"/>
    <n v="2"/>
    <n v="2"/>
    <s v="Beginners (0–2 days)"/>
    <x v="3"/>
    <n v="4"/>
  </r>
  <r>
    <s v="U236"/>
    <n v="48"/>
    <x v="1"/>
    <x v="1"/>
    <n v="7.5"/>
    <x v="1"/>
    <n v="4"/>
    <n v="9"/>
    <n v="4"/>
    <n v="5"/>
    <s v="Advanced (5–7 days)"/>
    <x v="3"/>
    <n v="5"/>
  </r>
  <r>
    <s v="U160"/>
    <n v="20"/>
    <x v="0"/>
    <x v="0"/>
    <n v="7.9"/>
    <x v="1"/>
    <n v="5"/>
    <n v="9"/>
    <n v="2"/>
    <n v="4"/>
    <s v="Intermediate (3–4 days)"/>
    <x v="1"/>
    <n v="5"/>
  </r>
  <r>
    <s v="U185"/>
    <n v="40"/>
    <x v="3"/>
    <x v="0"/>
    <n v="7.7"/>
    <x v="1"/>
    <n v="3"/>
    <n v="9"/>
    <n v="0"/>
    <n v="4"/>
    <s v="Intermediate (3–4 days)"/>
    <x v="1"/>
    <n v="5"/>
  </r>
  <r>
    <s v="U225"/>
    <n v="48"/>
    <x v="1"/>
    <x v="0"/>
    <n v="7.3"/>
    <x v="1"/>
    <n v="5"/>
    <n v="9"/>
    <n v="4"/>
    <n v="4"/>
    <s v="Intermediate (3–4 days)"/>
    <x v="1"/>
    <n v="5"/>
  </r>
  <r>
    <s v="U473"/>
    <n v="36"/>
    <x v="3"/>
    <x v="1"/>
    <n v="7.4"/>
    <x v="1"/>
    <n v="3"/>
    <n v="8"/>
    <n v="5"/>
    <n v="4"/>
    <s v="Intermediate (3–4 days)"/>
    <x v="2"/>
    <n v="5"/>
  </r>
  <r>
    <s v="U065"/>
    <n v="30"/>
    <x v="2"/>
    <x v="0"/>
    <n v="6.5"/>
    <x v="1"/>
    <n v="4"/>
    <n v="9"/>
    <n v="4"/>
    <n v="3"/>
    <s v="Intermediate (3–4 days)"/>
    <x v="0"/>
    <n v="5"/>
  </r>
  <r>
    <s v="U071"/>
    <n v="16"/>
    <x v="0"/>
    <x v="0"/>
    <n v="6.9"/>
    <x v="1"/>
    <n v="5"/>
    <n v="8"/>
    <n v="3"/>
    <n v="3"/>
    <s v="Intermediate (3–4 days)"/>
    <x v="3"/>
    <n v="5"/>
  </r>
  <r>
    <s v="U152"/>
    <n v="41"/>
    <x v="3"/>
    <x v="1"/>
    <n v="7.4"/>
    <x v="1"/>
    <n v="4"/>
    <n v="9"/>
    <n v="6"/>
    <n v="3"/>
    <s v="Intermediate (3–4 days)"/>
    <x v="3"/>
    <n v="5"/>
  </r>
  <r>
    <s v="U242"/>
    <n v="32"/>
    <x v="2"/>
    <x v="0"/>
    <n v="9.4"/>
    <x v="0"/>
    <n v="3"/>
    <n v="9"/>
    <n v="2"/>
    <n v="3"/>
    <s v="Intermediate (3–4 days)"/>
    <x v="1"/>
    <n v="5"/>
  </r>
  <r>
    <s v="U256"/>
    <n v="33"/>
    <x v="2"/>
    <x v="1"/>
    <n v="5.9"/>
    <x v="2"/>
    <n v="4"/>
    <n v="7"/>
    <n v="0"/>
    <n v="3"/>
    <s v="Intermediate (3–4 days)"/>
    <x v="4"/>
    <n v="5"/>
  </r>
  <r>
    <s v="U275"/>
    <n v="28"/>
    <x v="2"/>
    <x v="1"/>
    <n v="6.2"/>
    <x v="1"/>
    <n v="3"/>
    <n v="8"/>
    <n v="0"/>
    <n v="3"/>
    <s v="Intermediate (3–4 days)"/>
    <x v="0"/>
    <n v="5"/>
  </r>
  <r>
    <s v="U282"/>
    <n v="27"/>
    <x v="2"/>
    <x v="1"/>
    <n v="7.4"/>
    <x v="1"/>
    <n v="4"/>
    <n v="9"/>
    <n v="5"/>
    <n v="3"/>
    <s v="Intermediate (3–4 days)"/>
    <x v="2"/>
    <n v="5"/>
  </r>
  <r>
    <s v="U464"/>
    <n v="23"/>
    <x v="0"/>
    <x v="0"/>
    <n v="6.5"/>
    <x v="1"/>
    <n v="5"/>
    <n v="10"/>
    <n v="5"/>
    <n v="3"/>
    <s v="Intermediate (3–4 days)"/>
    <x v="4"/>
    <n v="5"/>
  </r>
  <r>
    <s v="U326"/>
    <n v="27"/>
    <x v="2"/>
    <x v="0"/>
    <n v="10.8"/>
    <x v="0"/>
    <n v="2"/>
    <n v="9"/>
    <n v="3"/>
    <n v="2"/>
    <s v="Beginners (0–2 days)"/>
    <x v="5"/>
    <n v="5"/>
  </r>
  <r>
    <s v="U077"/>
    <n v="48"/>
    <x v="1"/>
    <x v="1"/>
    <n v="9.6999999999999993"/>
    <x v="0"/>
    <n v="4"/>
    <n v="8"/>
    <n v="5"/>
    <n v="1"/>
    <s v="Beginners (0–2 days)"/>
    <x v="4"/>
    <n v="5"/>
  </r>
  <r>
    <s v="U298"/>
    <n v="20"/>
    <x v="0"/>
    <x v="0"/>
    <n v="7.7"/>
    <x v="1"/>
    <n v="4"/>
    <n v="8"/>
    <n v="5"/>
    <n v="0"/>
    <s v="Beginners (0–2 days)"/>
    <x v="3"/>
    <n v="5"/>
  </r>
  <r>
    <s v="U089"/>
    <n v="42"/>
    <x v="3"/>
    <x v="0"/>
    <n v="7.1"/>
    <x v="1"/>
    <n v="3"/>
    <n v="8"/>
    <n v="6"/>
    <n v="5"/>
    <s v="Advanced (5–7 days)"/>
    <x v="1"/>
    <n v="6"/>
  </r>
  <r>
    <s v="U305"/>
    <n v="45"/>
    <x v="1"/>
    <x v="0"/>
    <n v="7.7"/>
    <x v="1"/>
    <n v="6"/>
    <n v="9"/>
    <n v="2"/>
    <n v="5"/>
    <s v="Advanced (5–7 days)"/>
    <x v="0"/>
    <n v="6"/>
  </r>
  <r>
    <s v="U098"/>
    <n v="24"/>
    <x v="0"/>
    <x v="1"/>
    <n v="6.1"/>
    <x v="1"/>
    <n v="4"/>
    <n v="9"/>
    <n v="0"/>
    <n v="4"/>
    <s v="Intermediate (3–4 days)"/>
    <x v="2"/>
    <n v="6"/>
  </r>
  <r>
    <s v="U363"/>
    <n v="27"/>
    <x v="2"/>
    <x v="0"/>
    <n v="7.8"/>
    <x v="1"/>
    <n v="5"/>
    <n v="8"/>
    <n v="0"/>
    <n v="4"/>
    <s v="Intermediate (3–4 days)"/>
    <x v="0"/>
    <n v="6"/>
  </r>
  <r>
    <s v="U181"/>
    <n v="33"/>
    <x v="2"/>
    <x v="0"/>
    <n v="6.3"/>
    <x v="1"/>
    <n v="6"/>
    <n v="8"/>
    <n v="7"/>
    <n v="3"/>
    <s v="Intermediate (3–4 days)"/>
    <x v="5"/>
    <n v="6"/>
  </r>
  <r>
    <s v="U204"/>
    <n v="39"/>
    <x v="3"/>
    <x v="1"/>
    <n v="4.5999999999999996"/>
    <x v="2"/>
    <n v="6"/>
    <n v="7"/>
    <n v="3"/>
    <n v="3"/>
    <s v="Intermediate (3–4 days)"/>
    <x v="0"/>
    <n v="6"/>
  </r>
  <r>
    <s v="U273"/>
    <n v="40"/>
    <x v="3"/>
    <x v="1"/>
    <n v="8"/>
    <x v="0"/>
    <n v="5"/>
    <n v="8"/>
    <n v="3"/>
    <n v="3"/>
    <s v="Intermediate (3–4 days)"/>
    <x v="0"/>
    <n v="6"/>
  </r>
  <r>
    <s v="U377"/>
    <n v="32"/>
    <x v="2"/>
    <x v="0"/>
    <n v="7.5"/>
    <x v="1"/>
    <n v="4"/>
    <n v="7"/>
    <n v="2"/>
    <n v="3"/>
    <s v="Intermediate (3–4 days)"/>
    <x v="1"/>
    <n v="6"/>
  </r>
  <r>
    <s v="U413"/>
    <n v="24"/>
    <x v="0"/>
    <x v="0"/>
    <n v="8.8000000000000007"/>
    <x v="0"/>
    <n v="5"/>
    <n v="9"/>
    <n v="0"/>
    <n v="3"/>
    <s v="Intermediate (3–4 days)"/>
    <x v="3"/>
    <n v="6"/>
  </r>
  <r>
    <s v="U443"/>
    <n v="44"/>
    <x v="3"/>
    <x v="1"/>
    <n v="6.4"/>
    <x v="1"/>
    <n v="5"/>
    <n v="6"/>
    <n v="5"/>
    <n v="3"/>
    <s v="Intermediate (3–4 days)"/>
    <x v="3"/>
    <n v="6"/>
  </r>
  <r>
    <s v="U455"/>
    <n v="42"/>
    <x v="3"/>
    <x v="1"/>
    <n v="6.2"/>
    <x v="1"/>
    <n v="6"/>
    <n v="6"/>
    <n v="3"/>
    <n v="3"/>
    <s v="Intermediate (3–4 days)"/>
    <x v="4"/>
    <n v="6"/>
  </r>
  <r>
    <s v="U491"/>
    <n v="31"/>
    <x v="2"/>
    <x v="0"/>
    <n v="7.9"/>
    <x v="1"/>
    <n v="5"/>
    <n v="8"/>
    <n v="2"/>
    <n v="3"/>
    <s v="Intermediate (3–4 days)"/>
    <x v="2"/>
    <n v="6"/>
  </r>
  <r>
    <s v="U059"/>
    <n v="31"/>
    <x v="2"/>
    <x v="0"/>
    <n v="7.6"/>
    <x v="1"/>
    <n v="5"/>
    <n v="10"/>
    <n v="3"/>
    <n v="2"/>
    <s v="Beginners (0–2 days)"/>
    <x v="1"/>
    <n v="6"/>
  </r>
  <r>
    <s v="U078"/>
    <n v="20"/>
    <x v="0"/>
    <x v="1"/>
    <n v="7.2"/>
    <x v="1"/>
    <n v="6"/>
    <n v="9"/>
    <n v="1"/>
    <n v="2"/>
    <s v="Beginners (0–2 days)"/>
    <x v="1"/>
    <n v="6"/>
  </r>
  <r>
    <s v="U106"/>
    <n v="45"/>
    <x v="1"/>
    <x v="0"/>
    <n v="6.3"/>
    <x v="1"/>
    <n v="7"/>
    <n v="8"/>
    <n v="0"/>
    <n v="2"/>
    <s v="Beginners (0–2 days)"/>
    <x v="4"/>
    <n v="6"/>
  </r>
  <r>
    <s v="U112"/>
    <n v="22"/>
    <x v="0"/>
    <x v="1"/>
    <n v="8.3000000000000007"/>
    <x v="0"/>
    <n v="5"/>
    <n v="10"/>
    <n v="0"/>
    <n v="2"/>
    <s v="Beginners (0–2 days)"/>
    <x v="1"/>
    <n v="6"/>
  </r>
  <r>
    <s v="U189"/>
    <n v="22"/>
    <x v="0"/>
    <x v="1"/>
    <n v="6.2"/>
    <x v="1"/>
    <n v="6"/>
    <n v="9"/>
    <n v="2"/>
    <n v="2"/>
    <s v="Beginners (0–2 days)"/>
    <x v="0"/>
    <n v="6"/>
  </r>
  <r>
    <s v="U259"/>
    <n v="18"/>
    <x v="0"/>
    <x v="1"/>
    <n v="7.2"/>
    <x v="1"/>
    <n v="4"/>
    <n v="7"/>
    <n v="3"/>
    <n v="2"/>
    <s v="Beginners (0–2 days)"/>
    <x v="5"/>
    <n v="6"/>
  </r>
  <r>
    <s v="U289"/>
    <n v="38"/>
    <x v="3"/>
    <x v="1"/>
    <n v="7"/>
    <x v="1"/>
    <n v="4"/>
    <n v="8"/>
    <n v="3"/>
    <n v="2"/>
    <s v="Beginners (0–2 days)"/>
    <x v="1"/>
    <n v="6"/>
  </r>
  <r>
    <s v="U308"/>
    <n v="34"/>
    <x v="2"/>
    <x v="0"/>
    <n v="7.8"/>
    <x v="1"/>
    <n v="5"/>
    <n v="9"/>
    <n v="2"/>
    <n v="2"/>
    <s v="Beginners (0–2 days)"/>
    <x v="3"/>
    <n v="6"/>
  </r>
  <r>
    <s v="U333"/>
    <n v="20"/>
    <x v="0"/>
    <x v="0"/>
    <n v="7.4"/>
    <x v="1"/>
    <n v="4"/>
    <n v="9"/>
    <n v="4"/>
    <n v="2"/>
    <s v="Beginners (0–2 days)"/>
    <x v="1"/>
    <n v="6"/>
  </r>
  <r>
    <s v="U354"/>
    <n v="31"/>
    <x v="2"/>
    <x v="0"/>
    <n v="8.1"/>
    <x v="0"/>
    <n v="5"/>
    <n v="9"/>
    <n v="2"/>
    <n v="2"/>
    <s v="Beginners (0–2 days)"/>
    <x v="1"/>
    <n v="6"/>
  </r>
  <r>
    <s v="U389"/>
    <n v="40"/>
    <x v="3"/>
    <x v="0"/>
    <n v="9.6999999999999993"/>
    <x v="0"/>
    <n v="4"/>
    <n v="10"/>
    <n v="2"/>
    <n v="2"/>
    <s v="Beginners (0–2 days)"/>
    <x v="0"/>
    <n v="6"/>
  </r>
  <r>
    <s v="U460"/>
    <n v="28"/>
    <x v="2"/>
    <x v="1"/>
    <n v="7.5"/>
    <x v="1"/>
    <n v="6"/>
    <n v="8"/>
    <n v="3"/>
    <n v="2"/>
    <s v="Beginners (0–2 days)"/>
    <x v="2"/>
    <n v="6"/>
  </r>
  <r>
    <s v="U171"/>
    <n v="18"/>
    <x v="0"/>
    <x v="0"/>
    <n v="5.6"/>
    <x v="2"/>
    <n v="5"/>
    <n v="7"/>
    <n v="3"/>
    <n v="1"/>
    <s v="Beginners (0–2 days)"/>
    <x v="5"/>
    <n v="6"/>
  </r>
  <r>
    <s v="U198"/>
    <n v="34"/>
    <x v="2"/>
    <x v="0"/>
    <n v="7.3"/>
    <x v="1"/>
    <n v="5"/>
    <n v="7"/>
    <n v="1"/>
    <n v="1"/>
    <s v="Beginners (0–2 days)"/>
    <x v="3"/>
    <n v="6"/>
  </r>
  <r>
    <s v="U231"/>
    <n v="42"/>
    <x v="3"/>
    <x v="1"/>
    <n v="8.8000000000000007"/>
    <x v="0"/>
    <n v="4"/>
    <n v="8"/>
    <n v="1"/>
    <n v="1"/>
    <s v="Beginners (0–2 days)"/>
    <x v="4"/>
    <n v="6"/>
  </r>
  <r>
    <s v="U248"/>
    <n v="44"/>
    <x v="3"/>
    <x v="0"/>
    <n v="7.5"/>
    <x v="1"/>
    <n v="6"/>
    <n v="9"/>
    <n v="2"/>
    <n v="1"/>
    <s v="Beginners (0–2 days)"/>
    <x v="0"/>
    <n v="6"/>
  </r>
  <r>
    <s v="U269"/>
    <n v="48"/>
    <x v="1"/>
    <x v="1"/>
    <n v="6.9"/>
    <x v="1"/>
    <n v="5"/>
    <n v="9"/>
    <n v="4"/>
    <n v="1"/>
    <s v="Beginners (0–2 days)"/>
    <x v="2"/>
    <n v="6"/>
  </r>
  <r>
    <s v="U378"/>
    <n v="41"/>
    <x v="3"/>
    <x v="0"/>
    <n v="8.3000000000000007"/>
    <x v="0"/>
    <n v="4"/>
    <n v="10"/>
    <n v="3"/>
    <n v="1"/>
    <s v="Beginners (0–2 days)"/>
    <x v="5"/>
    <n v="6"/>
  </r>
  <r>
    <s v="U406"/>
    <n v="40"/>
    <x v="3"/>
    <x v="0"/>
    <n v="6.9"/>
    <x v="1"/>
    <n v="3"/>
    <n v="8"/>
    <n v="7"/>
    <n v="1"/>
    <s v="Beginners (0–2 days)"/>
    <x v="2"/>
    <n v="6"/>
  </r>
  <r>
    <s v="U453"/>
    <n v="46"/>
    <x v="1"/>
    <x v="1"/>
    <n v="6.1"/>
    <x v="1"/>
    <n v="6"/>
    <n v="8"/>
    <n v="0"/>
    <n v="1"/>
    <s v="Beginners (0–2 days)"/>
    <x v="5"/>
    <n v="6"/>
  </r>
  <r>
    <s v="U476"/>
    <n v="26"/>
    <x v="2"/>
    <x v="1"/>
    <n v="9.3000000000000007"/>
    <x v="0"/>
    <n v="3"/>
    <n v="8"/>
    <n v="2"/>
    <n v="1"/>
    <s v="Beginners (0–2 days)"/>
    <x v="2"/>
    <n v="6"/>
  </r>
  <r>
    <s v="U027"/>
    <n v="22"/>
    <x v="0"/>
    <x v="1"/>
    <n v="6.2"/>
    <x v="1"/>
    <n v="5"/>
    <n v="8"/>
    <n v="5"/>
    <n v="0"/>
    <s v="Beginners (0–2 days)"/>
    <x v="5"/>
    <n v="6"/>
  </r>
  <r>
    <s v="U151"/>
    <n v="17"/>
    <x v="0"/>
    <x v="1"/>
    <n v="6.8"/>
    <x v="1"/>
    <n v="5"/>
    <n v="8"/>
    <n v="6"/>
    <n v="0"/>
    <s v="Beginners (0–2 days)"/>
    <x v="5"/>
    <n v="6"/>
  </r>
  <r>
    <s v="U213"/>
    <n v="17"/>
    <x v="0"/>
    <x v="1"/>
    <n v="9.8000000000000007"/>
    <x v="0"/>
    <n v="4"/>
    <n v="9"/>
    <n v="5"/>
    <n v="0"/>
    <s v="Beginners (0–2 days)"/>
    <x v="4"/>
    <n v="6"/>
  </r>
  <r>
    <s v="U405"/>
    <n v="35"/>
    <x v="3"/>
    <x v="0"/>
    <n v="8.1999999999999993"/>
    <x v="0"/>
    <n v="4"/>
    <n v="9"/>
    <n v="5"/>
    <n v="0"/>
    <s v="Beginners (0–2 days)"/>
    <x v="5"/>
    <n v="6"/>
  </r>
  <r>
    <s v="U404"/>
    <n v="32"/>
    <x v="2"/>
    <x v="0"/>
    <n v="6.2"/>
    <x v="1"/>
    <n v="6"/>
    <n v="8"/>
    <n v="4"/>
    <n v="5"/>
    <s v="Advanced (5–7 days)"/>
    <x v="3"/>
    <n v="7"/>
  </r>
  <r>
    <s v="U445"/>
    <n v="23"/>
    <x v="0"/>
    <x v="1"/>
    <n v="4.9000000000000004"/>
    <x v="2"/>
    <n v="7"/>
    <n v="7"/>
    <n v="4"/>
    <n v="5"/>
    <s v="Advanced (5–7 days)"/>
    <x v="4"/>
    <n v="7"/>
  </r>
  <r>
    <s v="U451"/>
    <n v="19"/>
    <x v="0"/>
    <x v="1"/>
    <n v="8.1"/>
    <x v="0"/>
    <n v="5"/>
    <n v="9"/>
    <n v="1"/>
    <n v="5"/>
    <s v="Advanced (5–7 days)"/>
    <x v="5"/>
    <n v="7"/>
  </r>
  <r>
    <s v="U481"/>
    <n v="30"/>
    <x v="2"/>
    <x v="0"/>
    <n v="5"/>
    <x v="2"/>
    <n v="7"/>
    <n v="8"/>
    <n v="2"/>
    <n v="5"/>
    <s v="Advanced (5–7 days)"/>
    <x v="3"/>
    <n v="7"/>
  </r>
  <r>
    <s v="U008"/>
    <n v="26"/>
    <x v="2"/>
    <x v="1"/>
    <n v="7.4"/>
    <x v="1"/>
    <n v="5"/>
    <n v="6"/>
    <n v="1"/>
    <n v="4"/>
    <s v="Intermediate (3–4 days)"/>
    <x v="1"/>
    <n v="7"/>
  </r>
  <r>
    <s v="U017"/>
    <n v="36"/>
    <x v="3"/>
    <x v="1"/>
    <n v="7.5"/>
    <x v="1"/>
    <n v="5"/>
    <n v="8"/>
    <n v="4"/>
    <n v="4"/>
    <s v="Intermediate (3–4 days)"/>
    <x v="2"/>
    <n v="7"/>
  </r>
  <r>
    <s v="U032"/>
    <n v="40"/>
    <x v="3"/>
    <x v="0"/>
    <n v="6"/>
    <x v="1"/>
    <n v="6"/>
    <n v="7"/>
    <n v="5"/>
    <n v="4"/>
    <s v="Intermediate (3–4 days)"/>
    <x v="0"/>
    <n v="7"/>
  </r>
  <r>
    <s v="U060"/>
    <n v="33"/>
    <x v="2"/>
    <x v="0"/>
    <n v="8.4"/>
    <x v="0"/>
    <n v="4"/>
    <n v="8"/>
    <n v="6"/>
    <n v="4"/>
    <s v="Intermediate (3–4 days)"/>
    <x v="5"/>
    <n v="7"/>
  </r>
  <r>
    <s v="U103"/>
    <n v="47"/>
    <x v="1"/>
    <x v="0"/>
    <n v="5.9"/>
    <x v="2"/>
    <n v="4"/>
    <n v="7"/>
    <n v="2"/>
    <n v="4"/>
    <s v="Intermediate (3–4 days)"/>
    <x v="1"/>
    <n v="7"/>
  </r>
  <r>
    <s v="U129"/>
    <n v="21"/>
    <x v="0"/>
    <x v="0"/>
    <n v="8.1999999999999993"/>
    <x v="0"/>
    <n v="5"/>
    <n v="7"/>
    <n v="6"/>
    <n v="4"/>
    <s v="Intermediate (3–4 days)"/>
    <x v="1"/>
    <n v="7"/>
  </r>
  <r>
    <s v="U138"/>
    <n v="39"/>
    <x v="3"/>
    <x v="0"/>
    <n v="6.2"/>
    <x v="1"/>
    <n v="5"/>
    <n v="8"/>
    <n v="4"/>
    <n v="4"/>
    <s v="Intermediate (3–4 days)"/>
    <x v="4"/>
    <n v="7"/>
  </r>
  <r>
    <s v="U184"/>
    <n v="43"/>
    <x v="3"/>
    <x v="1"/>
    <n v="6.1"/>
    <x v="1"/>
    <n v="7"/>
    <n v="9"/>
    <n v="1"/>
    <n v="4"/>
    <s v="Intermediate (3–4 days)"/>
    <x v="3"/>
    <n v="7"/>
  </r>
  <r>
    <s v="U188"/>
    <n v="45"/>
    <x v="1"/>
    <x v="1"/>
    <n v="5.4"/>
    <x v="2"/>
    <n v="7"/>
    <n v="8"/>
    <n v="3"/>
    <n v="4"/>
    <s v="Intermediate (3–4 days)"/>
    <x v="2"/>
    <n v="7"/>
  </r>
  <r>
    <s v="U310"/>
    <n v="41"/>
    <x v="3"/>
    <x v="1"/>
    <n v="6.2"/>
    <x v="1"/>
    <n v="8"/>
    <n v="9"/>
    <n v="0"/>
    <n v="4"/>
    <s v="Intermediate (3–4 days)"/>
    <x v="0"/>
    <n v="7"/>
  </r>
  <r>
    <s v="U432"/>
    <n v="33"/>
    <x v="2"/>
    <x v="1"/>
    <n v="6.9"/>
    <x v="1"/>
    <n v="6"/>
    <n v="7"/>
    <n v="0"/>
    <n v="4"/>
    <s v="Intermediate (3–4 days)"/>
    <x v="1"/>
    <n v="7"/>
  </r>
  <r>
    <s v="U433"/>
    <n v="27"/>
    <x v="2"/>
    <x v="0"/>
    <n v="6.8"/>
    <x v="1"/>
    <n v="5"/>
    <n v="8"/>
    <n v="5"/>
    <n v="4"/>
    <s v="Intermediate (3–4 days)"/>
    <x v="0"/>
    <n v="7"/>
  </r>
  <r>
    <s v="U042"/>
    <n v="32"/>
    <x v="2"/>
    <x v="0"/>
    <n v="6.1"/>
    <x v="1"/>
    <n v="5"/>
    <n v="6"/>
    <n v="3"/>
    <n v="3"/>
    <s v="Intermediate (3–4 days)"/>
    <x v="1"/>
    <n v="7"/>
  </r>
  <r>
    <s v="U159"/>
    <n v="39"/>
    <x v="3"/>
    <x v="0"/>
    <n v="7.5"/>
    <x v="1"/>
    <n v="5"/>
    <n v="6"/>
    <n v="6"/>
    <n v="3"/>
    <s v="Intermediate (3–4 days)"/>
    <x v="1"/>
    <n v="7"/>
  </r>
  <r>
    <s v="U207"/>
    <n v="35"/>
    <x v="3"/>
    <x v="0"/>
    <n v="6.2"/>
    <x v="1"/>
    <n v="4"/>
    <n v="8"/>
    <n v="1"/>
    <n v="3"/>
    <s v="Intermediate (3–4 days)"/>
    <x v="1"/>
    <n v="7"/>
  </r>
  <r>
    <s v="U215"/>
    <n v="48"/>
    <x v="1"/>
    <x v="1"/>
    <n v="6.4"/>
    <x v="1"/>
    <n v="4"/>
    <n v="6"/>
    <n v="2"/>
    <n v="3"/>
    <s v="Intermediate (3–4 days)"/>
    <x v="0"/>
    <n v="7"/>
  </r>
  <r>
    <s v="U244"/>
    <n v="45"/>
    <x v="1"/>
    <x v="0"/>
    <n v="5.9"/>
    <x v="2"/>
    <n v="6"/>
    <n v="8"/>
    <n v="0"/>
    <n v="3"/>
    <s v="Intermediate (3–4 days)"/>
    <x v="2"/>
    <n v="7"/>
  </r>
  <r>
    <s v="U247"/>
    <n v="39"/>
    <x v="3"/>
    <x v="1"/>
    <n v="6.6"/>
    <x v="1"/>
    <n v="6"/>
    <n v="7"/>
    <n v="3"/>
    <n v="3"/>
    <s v="Intermediate (3–4 days)"/>
    <x v="4"/>
    <n v="7"/>
  </r>
  <r>
    <s v="U287"/>
    <n v="17"/>
    <x v="0"/>
    <x v="0"/>
    <n v="6.2"/>
    <x v="1"/>
    <n v="6"/>
    <n v="8"/>
    <n v="0"/>
    <n v="3"/>
    <s v="Intermediate (3–4 days)"/>
    <x v="3"/>
    <n v="7"/>
  </r>
  <r>
    <s v="U307"/>
    <n v="32"/>
    <x v="2"/>
    <x v="1"/>
    <n v="6.2"/>
    <x v="1"/>
    <n v="5"/>
    <n v="7"/>
    <n v="1"/>
    <n v="3"/>
    <s v="Intermediate (3–4 days)"/>
    <x v="0"/>
    <n v="7"/>
  </r>
  <r>
    <s v="U339"/>
    <n v="41"/>
    <x v="3"/>
    <x v="0"/>
    <n v="7.2"/>
    <x v="1"/>
    <n v="5"/>
    <n v="10"/>
    <n v="7"/>
    <n v="3"/>
    <s v="Intermediate (3–4 days)"/>
    <x v="4"/>
    <n v="7"/>
  </r>
  <r>
    <s v="U342"/>
    <n v="45"/>
    <x v="1"/>
    <x v="1"/>
    <n v="5.6"/>
    <x v="2"/>
    <n v="6"/>
    <n v="6"/>
    <n v="1"/>
    <n v="3"/>
    <s v="Intermediate (3–4 days)"/>
    <x v="4"/>
    <n v="7"/>
  </r>
  <r>
    <s v="U382"/>
    <n v="25"/>
    <x v="2"/>
    <x v="0"/>
    <n v="7.5"/>
    <x v="1"/>
    <n v="4"/>
    <n v="8"/>
    <n v="3"/>
    <n v="3"/>
    <s v="Intermediate (3–4 days)"/>
    <x v="5"/>
    <n v="7"/>
  </r>
  <r>
    <s v="U387"/>
    <n v="26"/>
    <x v="2"/>
    <x v="0"/>
    <n v="8.1"/>
    <x v="0"/>
    <n v="5"/>
    <n v="7"/>
    <n v="2"/>
    <n v="3"/>
    <s v="Intermediate (3–4 days)"/>
    <x v="1"/>
    <n v="7"/>
  </r>
  <r>
    <s v="U434"/>
    <n v="24"/>
    <x v="0"/>
    <x v="0"/>
    <n v="4.2"/>
    <x v="2"/>
    <n v="8"/>
    <n v="7"/>
    <n v="5"/>
    <n v="3"/>
    <s v="Intermediate (3–4 days)"/>
    <x v="5"/>
    <n v="7"/>
  </r>
  <r>
    <s v="U471"/>
    <n v="21"/>
    <x v="0"/>
    <x v="0"/>
    <n v="4.4000000000000004"/>
    <x v="2"/>
    <n v="5"/>
    <n v="6"/>
    <n v="4"/>
    <n v="3"/>
    <s v="Intermediate (3–4 days)"/>
    <x v="3"/>
    <n v="7"/>
  </r>
  <r>
    <s v="U489"/>
    <n v="25"/>
    <x v="2"/>
    <x v="1"/>
    <n v="8.4"/>
    <x v="0"/>
    <n v="5"/>
    <n v="9"/>
    <n v="1"/>
    <n v="3"/>
    <s v="Intermediate (3–4 days)"/>
    <x v="2"/>
    <n v="7"/>
  </r>
  <r>
    <s v="U500"/>
    <n v="43"/>
    <x v="3"/>
    <x v="1"/>
    <n v="5.9"/>
    <x v="2"/>
    <n v="5"/>
    <n v="8"/>
    <n v="3"/>
    <n v="3"/>
    <s v="Intermediate (3–4 days)"/>
    <x v="5"/>
    <n v="7"/>
  </r>
  <r>
    <s v="U010"/>
    <n v="39"/>
    <x v="3"/>
    <x v="1"/>
    <n v="6.6"/>
    <x v="1"/>
    <n v="6"/>
    <n v="8"/>
    <n v="0"/>
    <n v="2"/>
    <s v="Beginners (0–2 days)"/>
    <x v="2"/>
    <n v="7"/>
  </r>
  <r>
    <s v="U024"/>
    <n v="31"/>
    <x v="2"/>
    <x v="1"/>
    <n v="7.8"/>
    <x v="1"/>
    <n v="5"/>
    <n v="8"/>
    <n v="1"/>
    <n v="2"/>
    <s v="Beginners (0–2 days)"/>
    <x v="0"/>
    <n v="7"/>
  </r>
  <r>
    <s v="U054"/>
    <n v="30"/>
    <x v="2"/>
    <x v="1"/>
    <n v="6.7"/>
    <x v="1"/>
    <n v="6"/>
    <n v="8"/>
    <n v="6"/>
    <n v="2"/>
    <s v="Beginners (0–2 days)"/>
    <x v="0"/>
    <n v="7"/>
  </r>
  <r>
    <s v="U069"/>
    <n v="24"/>
    <x v="0"/>
    <x v="1"/>
    <n v="4.8"/>
    <x v="2"/>
    <n v="6"/>
    <n v="7"/>
    <n v="5"/>
    <n v="2"/>
    <s v="Beginners (0–2 days)"/>
    <x v="0"/>
    <n v="7"/>
  </r>
  <r>
    <s v="U080"/>
    <n v="22"/>
    <x v="0"/>
    <x v="0"/>
    <n v="5.8"/>
    <x v="2"/>
    <n v="6"/>
    <n v="8"/>
    <n v="3"/>
    <n v="2"/>
    <s v="Beginners (0–2 days)"/>
    <x v="5"/>
    <n v="7"/>
  </r>
  <r>
    <s v="U102"/>
    <n v="28"/>
    <x v="2"/>
    <x v="0"/>
    <n v="6.3"/>
    <x v="1"/>
    <n v="5"/>
    <n v="7"/>
    <n v="2"/>
    <n v="2"/>
    <s v="Beginners (0–2 days)"/>
    <x v="2"/>
    <n v="7"/>
  </r>
  <r>
    <s v="U114"/>
    <n v="43"/>
    <x v="3"/>
    <x v="0"/>
    <n v="6.4"/>
    <x v="1"/>
    <n v="6"/>
    <n v="7"/>
    <n v="4"/>
    <n v="2"/>
    <s v="Beginners (0–2 days)"/>
    <x v="3"/>
    <n v="7"/>
  </r>
  <r>
    <s v="U180"/>
    <n v="48"/>
    <x v="1"/>
    <x v="0"/>
    <n v="6.8"/>
    <x v="1"/>
    <n v="4"/>
    <n v="7"/>
    <n v="4"/>
    <n v="2"/>
    <s v="Beginners (0–2 days)"/>
    <x v="3"/>
    <n v="7"/>
  </r>
  <r>
    <s v="U205"/>
    <n v="26"/>
    <x v="2"/>
    <x v="0"/>
    <n v="7.3"/>
    <x v="1"/>
    <n v="5"/>
    <n v="8"/>
    <n v="2"/>
    <n v="2"/>
    <s v="Beginners (0–2 days)"/>
    <x v="5"/>
    <n v="7"/>
  </r>
  <r>
    <s v="U208"/>
    <n v="40"/>
    <x v="3"/>
    <x v="0"/>
    <n v="6.4"/>
    <x v="1"/>
    <n v="5"/>
    <n v="8"/>
    <n v="1"/>
    <n v="2"/>
    <s v="Beginners (0–2 days)"/>
    <x v="4"/>
    <n v="7"/>
  </r>
  <r>
    <s v="U226"/>
    <n v="27"/>
    <x v="2"/>
    <x v="0"/>
    <n v="6.6"/>
    <x v="1"/>
    <n v="5"/>
    <n v="7"/>
    <n v="5"/>
    <n v="2"/>
    <s v="Beginners (0–2 days)"/>
    <x v="3"/>
    <n v="7"/>
  </r>
  <r>
    <s v="U240"/>
    <n v="34"/>
    <x v="2"/>
    <x v="0"/>
    <n v="7.9"/>
    <x v="1"/>
    <n v="6"/>
    <n v="8"/>
    <n v="4"/>
    <n v="2"/>
    <s v="Beginners (0–2 days)"/>
    <x v="1"/>
    <n v="7"/>
  </r>
  <r>
    <s v="U260"/>
    <n v="39"/>
    <x v="3"/>
    <x v="1"/>
    <n v="7.1"/>
    <x v="1"/>
    <n v="4"/>
    <n v="8"/>
    <n v="0"/>
    <n v="2"/>
    <s v="Beginners (0–2 days)"/>
    <x v="2"/>
    <n v="7"/>
  </r>
  <r>
    <s v="U280"/>
    <n v="31"/>
    <x v="2"/>
    <x v="0"/>
    <n v="5.4"/>
    <x v="2"/>
    <n v="5"/>
    <n v="8"/>
    <n v="5"/>
    <n v="2"/>
    <s v="Beginners (0–2 days)"/>
    <x v="1"/>
    <n v="7"/>
  </r>
  <r>
    <s v="U284"/>
    <n v="30"/>
    <x v="2"/>
    <x v="1"/>
    <n v="5.9"/>
    <x v="2"/>
    <n v="6"/>
    <n v="9"/>
    <n v="3"/>
    <n v="2"/>
    <s v="Beginners (0–2 days)"/>
    <x v="3"/>
    <n v="7"/>
  </r>
  <r>
    <s v="U331"/>
    <n v="29"/>
    <x v="2"/>
    <x v="0"/>
    <n v="6"/>
    <x v="1"/>
    <n v="8"/>
    <n v="7"/>
    <n v="3"/>
    <n v="2"/>
    <s v="Beginners (0–2 days)"/>
    <x v="2"/>
    <n v="7"/>
  </r>
  <r>
    <s v="U338"/>
    <n v="41"/>
    <x v="3"/>
    <x v="1"/>
    <n v="9.1"/>
    <x v="0"/>
    <n v="4"/>
    <n v="9"/>
    <n v="4"/>
    <n v="2"/>
    <s v="Beginners (0–2 days)"/>
    <x v="1"/>
    <n v="7"/>
  </r>
  <r>
    <s v="U359"/>
    <n v="47"/>
    <x v="1"/>
    <x v="0"/>
    <n v="7.4"/>
    <x v="1"/>
    <n v="6"/>
    <n v="7"/>
    <n v="5"/>
    <n v="2"/>
    <s v="Beginners (0–2 days)"/>
    <x v="4"/>
    <n v="7"/>
  </r>
  <r>
    <s v="U370"/>
    <n v="25"/>
    <x v="2"/>
    <x v="0"/>
    <n v="8.3000000000000007"/>
    <x v="0"/>
    <n v="5"/>
    <n v="8"/>
    <n v="4"/>
    <n v="2"/>
    <s v="Beginners (0–2 days)"/>
    <x v="2"/>
    <n v="7"/>
  </r>
  <r>
    <s v="U437"/>
    <n v="22"/>
    <x v="0"/>
    <x v="1"/>
    <n v="8.8000000000000007"/>
    <x v="0"/>
    <n v="2"/>
    <n v="9"/>
    <n v="4"/>
    <n v="2"/>
    <s v="Beginners (0–2 days)"/>
    <x v="2"/>
    <n v="7"/>
  </r>
  <r>
    <s v="U109"/>
    <n v="44"/>
    <x v="3"/>
    <x v="0"/>
    <n v="6.4"/>
    <x v="1"/>
    <n v="6"/>
    <n v="8"/>
    <n v="0"/>
    <n v="1"/>
    <s v="Beginners (0–2 days)"/>
    <x v="4"/>
    <n v="7"/>
  </r>
  <r>
    <s v="U131"/>
    <n v="42"/>
    <x v="3"/>
    <x v="1"/>
    <n v="6"/>
    <x v="1"/>
    <n v="5"/>
    <n v="8"/>
    <n v="1"/>
    <n v="1"/>
    <s v="Beginners (0–2 days)"/>
    <x v="4"/>
    <n v="7"/>
  </r>
  <r>
    <s v="U167"/>
    <n v="24"/>
    <x v="0"/>
    <x v="0"/>
    <n v="7.1"/>
    <x v="1"/>
    <n v="6"/>
    <n v="8"/>
    <n v="6"/>
    <n v="1"/>
    <s v="Beginners (0–2 days)"/>
    <x v="0"/>
    <n v="7"/>
  </r>
  <r>
    <s v="U194"/>
    <n v="27"/>
    <x v="2"/>
    <x v="0"/>
    <n v="5.5"/>
    <x v="2"/>
    <n v="6"/>
    <n v="8"/>
    <n v="3"/>
    <n v="1"/>
    <s v="Beginners (0–2 days)"/>
    <x v="0"/>
    <n v="7"/>
  </r>
  <r>
    <s v="U266"/>
    <n v="17"/>
    <x v="0"/>
    <x v="0"/>
    <n v="8.6999999999999993"/>
    <x v="0"/>
    <n v="4"/>
    <n v="8"/>
    <n v="1"/>
    <n v="1"/>
    <s v="Beginners (0–2 days)"/>
    <x v="3"/>
    <n v="7"/>
  </r>
  <r>
    <s v="U302"/>
    <n v="45"/>
    <x v="1"/>
    <x v="1"/>
    <n v="6.4"/>
    <x v="1"/>
    <n v="6"/>
    <n v="7"/>
    <n v="2"/>
    <n v="1"/>
    <s v="Beginners (0–2 days)"/>
    <x v="2"/>
    <n v="7"/>
  </r>
  <r>
    <s v="U304"/>
    <n v="28"/>
    <x v="2"/>
    <x v="1"/>
    <n v="7.7"/>
    <x v="1"/>
    <n v="4"/>
    <n v="7"/>
    <n v="2"/>
    <n v="1"/>
    <s v="Beginners (0–2 days)"/>
    <x v="2"/>
    <n v="7"/>
  </r>
  <r>
    <s v="U313"/>
    <n v="24"/>
    <x v="0"/>
    <x v="0"/>
    <n v="5.6"/>
    <x v="2"/>
    <n v="5"/>
    <n v="8"/>
    <n v="7"/>
    <n v="1"/>
    <s v="Beginners (0–2 days)"/>
    <x v="3"/>
    <n v="7"/>
  </r>
  <r>
    <s v="U321"/>
    <n v="31"/>
    <x v="2"/>
    <x v="0"/>
    <n v="5.8"/>
    <x v="2"/>
    <n v="6"/>
    <n v="8"/>
    <n v="6"/>
    <n v="1"/>
    <s v="Beginners (0–2 days)"/>
    <x v="2"/>
    <n v="7"/>
  </r>
  <r>
    <s v="U335"/>
    <n v="20"/>
    <x v="0"/>
    <x v="0"/>
    <n v="6.5"/>
    <x v="1"/>
    <n v="7"/>
    <n v="7"/>
    <n v="4"/>
    <n v="1"/>
    <s v="Beginners (0–2 days)"/>
    <x v="4"/>
    <n v="7"/>
  </r>
  <r>
    <s v="U362"/>
    <n v="39"/>
    <x v="3"/>
    <x v="1"/>
    <n v="6.6"/>
    <x v="1"/>
    <n v="6"/>
    <n v="7"/>
    <n v="3"/>
    <n v="1"/>
    <s v="Beginners (0–2 days)"/>
    <x v="1"/>
    <n v="7"/>
  </r>
  <r>
    <s v="U392"/>
    <n v="24"/>
    <x v="0"/>
    <x v="0"/>
    <n v="6.5"/>
    <x v="1"/>
    <n v="7"/>
    <n v="6"/>
    <n v="1"/>
    <n v="1"/>
    <s v="Beginners (0–2 days)"/>
    <x v="4"/>
    <n v="7"/>
  </r>
  <r>
    <s v="U448"/>
    <n v="32"/>
    <x v="2"/>
    <x v="0"/>
    <n v="8.4"/>
    <x v="0"/>
    <n v="5"/>
    <n v="9"/>
    <n v="4"/>
    <n v="1"/>
    <s v="Beginners (0–2 days)"/>
    <x v="5"/>
    <n v="7"/>
  </r>
  <r>
    <s v="U459"/>
    <n v="18"/>
    <x v="0"/>
    <x v="0"/>
    <n v="7.3"/>
    <x v="1"/>
    <n v="5"/>
    <n v="8"/>
    <n v="1"/>
    <n v="1"/>
    <s v="Beginners (0–2 days)"/>
    <x v="3"/>
    <n v="7"/>
  </r>
  <r>
    <s v="U486"/>
    <n v="38"/>
    <x v="3"/>
    <x v="0"/>
    <n v="6.6"/>
    <x v="1"/>
    <n v="6"/>
    <n v="8"/>
    <n v="2"/>
    <n v="1"/>
    <s v="Beginners (0–2 days)"/>
    <x v="0"/>
    <n v="7"/>
  </r>
  <r>
    <s v="U007"/>
    <n v="26"/>
    <x v="2"/>
    <x v="1"/>
    <n v="7.8"/>
    <x v="1"/>
    <n v="4"/>
    <n v="8"/>
    <n v="2"/>
    <n v="0"/>
    <s v="Beginners (0–2 days)"/>
    <x v="0"/>
    <n v="7"/>
  </r>
  <r>
    <s v="U011"/>
    <n v="18"/>
    <x v="0"/>
    <x v="1"/>
    <n v="2.8"/>
    <x v="3"/>
    <n v="7"/>
    <n v="6"/>
    <n v="2"/>
    <n v="0"/>
    <s v="Beginners (0–2 days)"/>
    <x v="1"/>
    <n v="7"/>
  </r>
  <r>
    <s v="U034"/>
    <n v="24"/>
    <x v="0"/>
    <x v="1"/>
    <n v="6.6"/>
    <x v="1"/>
    <n v="6"/>
    <n v="7"/>
    <n v="4"/>
    <n v="0"/>
    <s v="Beginners (0–2 days)"/>
    <x v="0"/>
    <n v="7"/>
  </r>
  <r>
    <s v="U172"/>
    <n v="35"/>
    <x v="3"/>
    <x v="0"/>
    <n v="5.0999999999999996"/>
    <x v="2"/>
    <n v="7"/>
    <n v="7"/>
    <n v="2"/>
    <n v="0"/>
    <s v="Beginners (0–2 days)"/>
    <x v="2"/>
    <n v="7"/>
  </r>
  <r>
    <s v="U257"/>
    <n v="40"/>
    <x v="3"/>
    <x v="0"/>
    <n v="7.5"/>
    <x v="1"/>
    <n v="4"/>
    <n v="8"/>
    <n v="5"/>
    <n v="0"/>
    <s v="Beginners (0–2 days)"/>
    <x v="2"/>
    <n v="7"/>
  </r>
  <r>
    <s v="U296"/>
    <n v="48"/>
    <x v="1"/>
    <x v="1"/>
    <n v="6"/>
    <x v="1"/>
    <n v="5"/>
    <n v="7"/>
    <n v="2"/>
    <n v="0"/>
    <s v="Beginners (0–2 days)"/>
    <x v="1"/>
    <n v="7"/>
  </r>
  <r>
    <s v="U361"/>
    <n v="35"/>
    <x v="3"/>
    <x v="1"/>
    <n v="6.8"/>
    <x v="1"/>
    <n v="4"/>
    <n v="9"/>
    <n v="3"/>
    <n v="0"/>
    <s v="Beginners (0–2 days)"/>
    <x v="5"/>
    <n v="7"/>
  </r>
  <r>
    <s v="U025"/>
    <n v="30"/>
    <x v="2"/>
    <x v="0"/>
    <n v="5"/>
    <x v="2"/>
    <n v="6"/>
    <n v="6"/>
    <n v="0"/>
    <n v="5"/>
    <s v="Advanced (5–7 days)"/>
    <x v="5"/>
    <n v="8"/>
  </r>
  <r>
    <s v="U123"/>
    <n v="40"/>
    <x v="3"/>
    <x v="1"/>
    <n v="7"/>
    <x v="1"/>
    <n v="4"/>
    <n v="6"/>
    <n v="0"/>
    <n v="5"/>
    <s v="Advanced (5–7 days)"/>
    <x v="1"/>
    <n v="8"/>
  </r>
  <r>
    <s v="U319"/>
    <n v="40"/>
    <x v="3"/>
    <x v="1"/>
    <n v="4.4000000000000004"/>
    <x v="2"/>
    <n v="8"/>
    <n v="7"/>
    <n v="4"/>
    <n v="5"/>
    <s v="Advanced (5–7 days)"/>
    <x v="4"/>
    <n v="8"/>
  </r>
  <r>
    <s v="U393"/>
    <n v="39"/>
    <x v="3"/>
    <x v="0"/>
    <n v="5"/>
    <x v="2"/>
    <n v="5"/>
    <n v="6"/>
    <n v="4"/>
    <n v="5"/>
    <s v="Advanced (5–7 days)"/>
    <x v="2"/>
    <n v="8"/>
  </r>
  <r>
    <s v="U420"/>
    <n v="20"/>
    <x v="0"/>
    <x v="0"/>
    <n v="5.6"/>
    <x v="2"/>
    <n v="8"/>
    <n v="8"/>
    <n v="3"/>
    <n v="5"/>
    <s v="Advanced (5–7 days)"/>
    <x v="1"/>
    <n v="8"/>
  </r>
  <r>
    <s v="U030"/>
    <n v="33"/>
    <x v="2"/>
    <x v="0"/>
    <n v="7.4"/>
    <x v="1"/>
    <n v="6"/>
    <n v="10"/>
    <n v="3"/>
    <n v="4"/>
    <s v="Intermediate (3–4 days)"/>
    <x v="1"/>
    <n v="8"/>
  </r>
  <r>
    <s v="U074"/>
    <n v="26"/>
    <x v="2"/>
    <x v="1"/>
    <n v="4.8"/>
    <x v="2"/>
    <n v="6"/>
    <n v="6"/>
    <n v="1"/>
    <n v="4"/>
    <s v="Intermediate (3–4 days)"/>
    <x v="4"/>
    <n v="8"/>
  </r>
  <r>
    <s v="U084"/>
    <n v="49"/>
    <x v="1"/>
    <x v="0"/>
    <n v="7.5"/>
    <x v="1"/>
    <n v="4"/>
    <n v="7"/>
    <n v="2"/>
    <n v="4"/>
    <s v="Intermediate (3–4 days)"/>
    <x v="5"/>
    <n v="8"/>
  </r>
  <r>
    <s v="U111"/>
    <n v="47"/>
    <x v="1"/>
    <x v="0"/>
    <n v="7.3"/>
    <x v="1"/>
    <n v="4"/>
    <n v="6"/>
    <n v="5"/>
    <n v="4"/>
    <s v="Intermediate (3–4 days)"/>
    <x v="0"/>
    <n v="8"/>
  </r>
  <r>
    <s v="U157"/>
    <n v="26"/>
    <x v="2"/>
    <x v="1"/>
    <n v="6.7"/>
    <x v="1"/>
    <n v="5"/>
    <n v="7"/>
    <n v="2"/>
    <n v="4"/>
    <s v="Intermediate (3–4 days)"/>
    <x v="1"/>
    <n v="8"/>
  </r>
  <r>
    <s v="U177"/>
    <n v="35"/>
    <x v="3"/>
    <x v="1"/>
    <n v="6"/>
    <x v="1"/>
    <n v="7"/>
    <n v="7"/>
    <n v="5"/>
    <n v="4"/>
    <s v="Intermediate (3–4 days)"/>
    <x v="5"/>
    <n v="8"/>
  </r>
  <r>
    <s v="U186"/>
    <n v="38"/>
    <x v="3"/>
    <x v="0"/>
    <n v="6.4"/>
    <x v="1"/>
    <n v="6"/>
    <n v="7"/>
    <n v="0"/>
    <n v="4"/>
    <s v="Intermediate (3–4 days)"/>
    <x v="2"/>
    <n v="8"/>
  </r>
  <r>
    <s v="U254"/>
    <n v="48"/>
    <x v="1"/>
    <x v="0"/>
    <n v="6.5"/>
    <x v="1"/>
    <n v="5"/>
    <n v="8"/>
    <n v="6"/>
    <n v="4"/>
    <s v="Intermediate (3–4 days)"/>
    <x v="1"/>
    <n v="8"/>
  </r>
  <r>
    <s v="U297"/>
    <n v="23"/>
    <x v="0"/>
    <x v="1"/>
    <n v="5"/>
    <x v="2"/>
    <n v="5"/>
    <n v="7"/>
    <n v="2"/>
    <n v="4"/>
    <s v="Intermediate (3–4 days)"/>
    <x v="1"/>
    <n v="8"/>
  </r>
  <r>
    <s v="U303"/>
    <n v="31"/>
    <x v="2"/>
    <x v="1"/>
    <n v="7"/>
    <x v="1"/>
    <n v="5"/>
    <n v="6"/>
    <n v="3"/>
    <n v="4"/>
    <s v="Intermediate (3–4 days)"/>
    <x v="3"/>
    <n v="8"/>
  </r>
  <r>
    <s v="U309"/>
    <n v="43"/>
    <x v="3"/>
    <x v="1"/>
    <n v="5"/>
    <x v="2"/>
    <n v="5"/>
    <n v="6"/>
    <n v="0"/>
    <n v="4"/>
    <s v="Intermediate (3–4 days)"/>
    <x v="2"/>
    <n v="8"/>
  </r>
  <r>
    <s v="U344"/>
    <n v="25"/>
    <x v="2"/>
    <x v="0"/>
    <n v="6.3"/>
    <x v="1"/>
    <n v="5"/>
    <n v="9"/>
    <n v="5"/>
    <n v="4"/>
    <s v="Intermediate (3–4 days)"/>
    <x v="2"/>
    <n v="8"/>
  </r>
  <r>
    <s v="U346"/>
    <n v="49"/>
    <x v="1"/>
    <x v="0"/>
    <n v="6.7"/>
    <x v="1"/>
    <n v="6"/>
    <n v="8"/>
    <n v="1"/>
    <n v="4"/>
    <s v="Intermediate (3–4 days)"/>
    <x v="1"/>
    <n v="8"/>
  </r>
  <r>
    <s v="U390"/>
    <n v="36"/>
    <x v="3"/>
    <x v="1"/>
    <n v="6.8"/>
    <x v="1"/>
    <n v="5"/>
    <n v="8"/>
    <n v="3"/>
    <n v="4"/>
    <s v="Intermediate (3–4 days)"/>
    <x v="3"/>
    <n v="8"/>
  </r>
  <r>
    <s v="U409"/>
    <n v="34"/>
    <x v="2"/>
    <x v="1"/>
    <n v="5.3"/>
    <x v="2"/>
    <n v="6"/>
    <n v="6"/>
    <n v="6"/>
    <n v="4"/>
    <s v="Intermediate (3–4 days)"/>
    <x v="0"/>
    <n v="8"/>
  </r>
  <r>
    <s v="U422"/>
    <n v="40"/>
    <x v="3"/>
    <x v="1"/>
    <n v="5.8"/>
    <x v="2"/>
    <n v="7"/>
    <n v="8"/>
    <n v="4"/>
    <n v="4"/>
    <s v="Intermediate (3–4 days)"/>
    <x v="0"/>
    <n v="8"/>
  </r>
  <r>
    <s v="U427"/>
    <n v="46"/>
    <x v="1"/>
    <x v="1"/>
    <n v="6.4"/>
    <x v="1"/>
    <n v="6"/>
    <n v="8"/>
    <n v="5"/>
    <n v="4"/>
    <s v="Intermediate (3–4 days)"/>
    <x v="5"/>
    <n v="8"/>
  </r>
  <r>
    <s v="U462"/>
    <n v="35"/>
    <x v="3"/>
    <x v="0"/>
    <n v="4.5"/>
    <x v="2"/>
    <n v="7"/>
    <n v="8"/>
    <n v="4"/>
    <n v="4"/>
    <s v="Intermediate (3–4 days)"/>
    <x v="1"/>
    <n v="8"/>
  </r>
  <r>
    <s v="U467"/>
    <n v="28"/>
    <x v="2"/>
    <x v="0"/>
    <n v="4.4000000000000004"/>
    <x v="2"/>
    <n v="7"/>
    <n v="7"/>
    <n v="3"/>
    <n v="4"/>
    <s v="Intermediate (3–4 days)"/>
    <x v="0"/>
    <n v="8"/>
  </r>
  <r>
    <s v="U475"/>
    <n v="36"/>
    <x v="3"/>
    <x v="1"/>
    <n v="6.3"/>
    <x v="1"/>
    <n v="7"/>
    <n v="7"/>
    <n v="3"/>
    <n v="4"/>
    <s v="Intermediate (3–4 days)"/>
    <x v="0"/>
    <n v="8"/>
  </r>
  <r>
    <s v="U006"/>
    <n v="38"/>
    <x v="3"/>
    <x v="0"/>
    <n v="6.6"/>
    <x v="1"/>
    <n v="5"/>
    <n v="7"/>
    <n v="4"/>
    <n v="3"/>
    <s v="Intermediate (3–4 days)"/>
    <x v="4"/>
    <n v="8"/>
  </r>
  <r>
    <s v="U037"/>
    <n v="35"/>
    <x v="3"/>
    <x v="1"/>
    <n v="7.7"/>
    <x v="1"/>
    <n v="4"/>
    <n v="8"/>
    <n v="0"/>
    <n v="3"/>
    <s v="Intermediate (3–4 days)"/>
    <x v="2"/>
    <n v="8"/>
  </r>
  <r>
    <s v="U055"/>
    <n v="23"/>
    <x v="0"/>
    <x v="1"/>
    <n v="5.2"/>
    <x v="2"/>
    <n v="6"/>
    <n v="6"/>
    <n v="7"/>
    <n v="3"/>
    <s v="Intermediate (3–4 days)"/>
    <x v="3"/>
    <n v="8"/>
  </r>
  <r>
    <s v="U072"/>
    <n v="23"/>
    <x v="0"/>
    <x v="1"/>
    <n v="7.4"/>
    <x v="1"/>
    <n v="6"/>
    <n v="7"/>
    <n v="2"/>
    <n v="3"/>
    <s v="Intermediate (3–4 days)"/>
    <x v="0"/>
    <n v="8"/>
  </r>
  <r>
    <s v="U097"/>
    <n v="42"/>
    <x v="3"/>
    <x v="0"/>
    <n v="7.7"/>
    <x v="1"/>
    <n v="4"/>
    <n v="7"/>
    <n v="2"/>
    <n v="3"/>
    <s v="Intermediate (3–4 days)"/>
    <x v="2"/>
    <n v="8"/>
  </r>
  <r>
    <s v="U120"/>
    <n v="45"/>
    <x v="1"/>
    <x v="0"/>
    <n v="6.2"/>
    <x v="1"/>
    <n v="5"/>
    <n v="8"/>
    <n v="5"/>
    <n v="3"/>
    <s v="Intermediate (3–4 days)"/>
    <x v="3"/>
    <n v="8"/>
  </r>
  <r>
    <s v="U127"/>
    <n v="28"/>
    <x v="2"/>
    <x v="1"/>
    <n v="6.9"/>
    <x v="1"/>
    <n v="5"/>
    <n v="8"/>
    <n v="3"/>
    <n v="3"/>
    <s v="Intermediate (3–4 days)"/>
    <x v="2"/>
    <n v="8"/>
  </r>
  <r>
    <s v="U133"/>
    <n v="48"/>
    <x v="1"/>
    <x v="0"/>
    <n v="6.5"/>
    <x v="1"/>
    <n v="6"/>
    <n v="8"/>
    <n v="3"/>
    <n v="3"/>
    <s v="Intermediate (3–4 days)"/>
    <x v="0"/>
    <n v="8"/>
  </r>
  <r>
    <s v="U158"/>
    <n v="32"/>
    <x v="2"/>
    <x v="0"/>
    <n v="7.3"/>
    <x v="1"/>
    <n v="5"/>
    <n v="7"/>
    <n v="1"/>
    <n v="3"/>
    <s v="Intermediate (3–4 days)"/>
    <x v="3"/>
    <n v="8"/>
  </r>
  <r>
    <s v="U161"/>
    <n v="49"/>
    <x v="1"/>
    <x v="0"/>
    <n v="5.0999999999999996"/>
    <x v="2"/>
    <n v="5"/>
    <n v="7"/>
    <n v="6"/>
    <n v="3"/>
    <s v="Intermediate (3–4 days)"/>
    <x v="3"/>
    <n v="8"/>
  </r>
  <r>
    <s v="U166"/>
    <n v="48"/>
    <x v="1"/>
    <x v="1"/>
    <n v="8.5"/>
    <x v="0"/>
    <n v="4"/>
    <n v="10"/>
    <n v="3"/>
    <n v="3"/>
    <s v="Intermediate (3–4 days)"/>
    <x v="4"/>
    <n v="8"/>
  </r>
  <r>
    <s v="U173"/>
    <n v="34"/>
    <x v="2"/>
    <x v="0"/>
    <n v="7.2"/>
    <x v="1"/>
    <n v="6"/>
    <n v="6"/>
    <n v="3"/>
    <n v="3"/>
    <s v="Intermediate (3–4 days)"/>
    <x v="5"/>
    <n v="8"/>
  </r>
  <r>
    <s v="U193"/>
    <n v="16"/>
    <x v="0"/>
    <x v="0"/>
    <n v="4.2"/>
    <x v="2"/>
    <n v="7"/>
    <n v="7"/>
    <n v="5"/>
    <n v="3"/>
    <s v="Intermediate (3–4 days)"/>
    <x v="0"/>
    <n v="8"/>
  </r>
  <r>
    <s v="U233"/>
    <n v="49"/>
    <x v="1"/>
    <x v="0"/>
    <n v="6.2"/>
    <x v="1"/>
    <n v="6"/>
    <n v="8"/>
    <n v="1"/>
    <n v="3"/>
    <s v="Intermediate (3–4 days)"/>
    <x v="4"/>
    <n v="8"/>
  </r>
  <r>
    <s v="U241"/>
    <n v="19"/>
    <x v="0"/>
    <x v="1"/>
    <n v="6.2"/>
    <x v="1"/>
    <n v="5"/>
    <n v="7"/>
    <n v="1"/>
    <n v="3"/>
    <s v="Intermediate (3–4 days)"/>
    <x v="3"/>
    <n v="8"/>
  </r>
  <r>
    <s v="U250"/>
    <n v="48"/>
    <x v="1"/>
    <x v="0"/>
    <n v="5.3"/>
    <x v="2"/>
    <n v="5"/>
    <n v="5"/>
    <n v="2"/>
    <n v="3"/>
    <s v="Intermediate (3–4 days)"/>
    <x v="4"/>
    <n v="8"/>
  </r>
  <r>
    <s v="U271"/>
    <n v="44"/>
    <x v="3"/>
    <x v="1"/>
    <n v="6.5"/>
    <x v="1"/>
    <n v="5"/>
    <n v="6"/>
    <n v="2"/>
    <n v="3"/>
    <s v="Intermediate (3–4 days)"/>
    <x v="1"/>
    <n v="8"/>
  </r>
  <r>
    <s v="U337"/>
    <n v="31"/>
    <x v="2"/>
    <x v="0"/>
    <n v="5.4"/>
    <x v="2"/>
    <n v="6"/>
    <n v="7"/>
    <n v="5"/>
    <n v="3"/>
    <s v="Intermediate (3–4 days)"/>
    <x v="2"/>
    <n v="8"/>
  </r>
  <r>
    <s v="U348"/>
    <n v="25"/>
    <x v="2"/>
    <x v="0"/>
    <n v="8.4"/>
    <x v="0"/>
    <n v="5"/>
    <n v="8"/>
    <n v="2"/>
    <n v="3"/>
    <s v="Intermediate (3–4 days)"/>
    <x v="0"/>
    <n v="8"/>
  </r>
  <r>
    <s v="U391"/>
    <n v="25"/>
    <x v="2"/>
    <x v="0"/>
    <n v="6.7"/>
    <x v="1"/>
    <n v="7"/>
    <n v="7"/>
    <n v="5"/>
    <n v="3"/>
    <s v="Intermediate (3–4 days)"/>
    <x v="4"/>
    <n v="8"/>
  </r>
  <r>
    <s v="U397"/>
    <n v="38"/>
    <x v="3"/>
    <x v="0"/>
    <n v="5.4"/>
    <x v="2"/>
    <n v="8"/>
    <n v="9"/>
    <n v="5"/>
    <n v="3"/>
    <s v="Intermediate (3–4 days)"/>
    <x v="5"/>
    <n v="8"/>
  </r>
  <r>
    <s v="U429"/>
    <n v="38"/>
    <x v="3"/>
    <x v="0"/>
    <n v="7.6"/>
    <x v="1"/>
    <n v="6"/>
    <n v="9"/>
    <n v="4"/>
    <n v="3"/>
    <s v="Intermediate (3–4 days)"/>
    <x v="5"/>
    <n v="8"/>
  </r>
  <r>
    <s v="U449"/>
    <n v="22"/>
    <x v="0"/>
    <x v="0"/>
    <n v="2.7"/>
    <x v="3"/>
    <n v="6"/>
    <n v="6"/>
    <n v="1"/>
    <n v="3"/>
    <s v="Intermediate (3–4 days)"/>
    <x v="4"/>
    <n v="8"/>
  </r>
  <r>
    <s v="U450"/>
    <n v="40"/>
    <x v="3"/>
    <x v="0"/>
    <n v="6"/>
    <x v="1"/>
    <n v="4"/>
    <n v="6"/>
    <n v="9"/>
    <n v="3"/>
    <s v="Intermediate (3–4 days)"/>
    <x v="4"/>
    <n v="8"/>
  </r>
  <r>
    <s v="U470"/>
    <n v="48"/>
    <x v="1"/>
    <x v="1"/>
    <n v="5.6"/>
    <x v="2"/>
    <n v="6"/>
    <n v="6"/>
    <n v="5"/>
    <n v="3"/>
    <s v="Intermediate (3–4 days)"/>
    <x v="0"/>
    <n v="8"/>
  </r>
  <r>
    <s v="U075"/>
    <n v="32"/>
    <x v="2"/>
    <x v="1"/>
    <n v="4.2"/>
    <x v="2"/>
    <n v="8"/>
    <n v="8"/>
    <n v="5"/>
    <n v="2"/>
    <s v="Beginners (0–2 days)"/>
    <x v="4"/>
    <n v="8"/>
  </r>
  <r>
    <s v="U081"/>
    <n v="24"/>
    <x v="0"/>
    <x v="1"/>
    <n v="4.8"/>
    <x v="2"/>
    <n v="6"/>
    <n v="7"/>
    <n v="2"/>
    <n v="2"/>
    <s v="Beginners (0–2 days)"/>
    <x v="1"/>
    <n v="8"/>
  </r>
  <r>
    <s v="U083"/>
    <n v="27"/>
    <x v="2"/>
    <x v="0"/>
    <n v="6.5"/>
    <x v="1"/>
    <n v="7"/>
    <n v="9"/>
    <n v="7"/>
    <n v="2"/>
    <s v="Beginners (0–2 days)"/>
    <x v="0"/>
    <n v="8"/>
  </r>
  <r>
    <s v="U099"/>
    <n v="30"/>
    <x v="2"/>
    <x v="1"/>
    <n v="7.9"/>
    <x v="1"/>
    <n v="5"/>
    <n v="8"/>
    <n v="0"/>
    <n v="2"/>
    <s v="Beginners (0–2 days)"/>
    <x v="4"/>
    <n v="8"/>
  </r>
  <r>
    <s v="U110"/>
    <n v="28"/>
    <x v="2"/>
    <x v="0"/>
    <n v="7"/>
    <x v="1"/>
    <n v="6"/>
    <n v="6"/>
    <n v="3"/>
    <n v="2"/>
    <s v="Beginners (0–2 days)"/>
    <x v="5"/>
    <n v="8"/>
  </r>
  <r>
    <s v="U154"/>
    <n v="21"/>
    <x v="0"/>
    <x v="0"/>
    <n v="4.8"/>
    <x v="2"/>
    <n v="5"/>
    <n v="7"/>
    <n v="1"/>
    <n v="2"/>
    <s v="Beginners (0–2 days)"/>
    <x v="1"/>
    <n v="8"/>
  </r>
  <r>
    <s v="U175"/>
    <n v="18"/>
    <x v="0"/>
    <x v="1"/>
    <n v="6.4"/>
    <x v="1"/>
    <n v="6"/>
    <n v="8"/>
    <n v="0"/>
    <n v="2"/>
    <s v="Beginners (0–2 days)"/>
    <x v="5"/>
    <n v="8"/>
  </r>
  <r>
    <s v="U196"/>
    <n v="47"/>
    <x v="1"/>
    <x v="1"/>
    <n v="6.5"/>
    <x v="1"/>
    <n v="5"/>
    <n v="7"/>
    <n v="2"/>
    <n v="2"/>
    <s v="Beginners (0–2 days)"/>
    <x v="4"/>
    <n v="8"/>
  </r>
  <r>
    <s v="U218"/>
    <n v="29"/>
    <x v="2"/>
    <x v="0"/>
    <n v="5.6"/>
    <x v="2"/>
    <n v="6"/>
    <n v="6"/>
    <n v="0"/>
    <n v="2"/>
    <s v="Beginners (0–2 days)"/>
    <x v="5"/>
    <n v="8"/>
  </r>
  <r>
    <s v="U222"/>
    <n v="22"/>
    <x v="0"/>
    <x v="0"/>
    <n v="4.2"/>
    <x v="2"/>
    <n v="6"/>
    <n v="6"/>
    <n v="0"/>
    <n v="2"/>
    <s v="Beginners (0–2 days)"/>
    <x v="3"/>
    <n v="8"/>
  </r>
  <r>
    <s v="U223"/>
    <n v="18"/>
    <x v="0"/>
    <x v="1"/>
    <n v="5.9"/>
    <x v="2"/>
    <n v="8"/>
    <n v="6"/>
    <n v="0"/>
    <n v="2"/>
    <s v="Beginners (0–2 days)"/>
    <x v="2"/>
    <n v="8"/>
  </r>
  <r>
    <s v="U227"/>
    <n v="37"/>
    <x v="3"/>
    <x v="1"/>
    <n v="4.5999999999999996"/>
    <x v="2"/>
    <n v="9"/>
    <n v="6"/>
    <n v="3"/>
    <n v="2"/>
    <s v="Beginners (0–2 days)"/>
    <x v="3"/>
    <n v="8"/>
  </r>
  <r>
    <s v="U234"/>
    <n v="36"/>
    <x v="3"/>
    <x v="0"/>
    <n v="6.7"/>
    <x v="1"/>
    <n v="7"/>
    <n v="7"/>
    <n v="4"/>
    <n v="2"/>
    <s v="Beginners (0–2 days)"/>
    <x v="0"/>
    <n v="8"/>
  </r>
  <r>
    <s v="U252"/>
    <n v="47"/>
    <x v="1"/>
    <x v="1"/>
    <n v="6.9"/>
    <x v="1"/>
    <n v="6"/>
    <n v="8"/>
    <n v="4"/>
    <n v="2"/>
    <s v="Beginners (0–2 days)"/>
    <x v="5"/>
    <n v="8"/>
  </r>
  <r>
    <s v="U265"/>
    <n v="42"/>
    <x v="3"/>
    <x v="0"/>
    <n v="5.3"/>
    <x v="2"/>
    <n v="7"/>
    <n v="7"/>
    <n v="4"/>
    <n v="2"/>
    <s v="Beginners (0–2 days)"/>
    <x v="0"/>
    <n v="8"/>
  </r>
  <r>
    <s v="U268"/>
    <n v="32"/>
    <x v="2"/>
    <x v="0"/>
    <n v="4.5"/>
    <x v="2"/>
    <n v="7"/>
    <n v="6"/>
    <n v="1"/>
    <n v="2"/>
    <s v="Beginners (0–2 days)"/>
    <x v="4"/>
    <n v="8"/>
  </r>
  <r>
    <s v="U292"/>
    <n v="37"/>
    <x v="3"/>
    <x v="0"/>
    <n v="4.2"/>
    <x v="2"/>
    <n v="9"/>
    <n v="7"/>
    <n v="2"/>
    <n v="2"/>
    <s v="Beginners (0–2 days)"/>
    <x v="4"/>
    <n v="8"/>
  </r>
  <r>
    <s v="U317"/>
    <n v="49"/>
    <x v="1"/>
    <x v="1"/>
    <n v="5.2"/>
    <x v="2"/>
    <n v="7"/>
    <n v="8"/>
    <n v="3"/>
    <n v="2"/>
    <s v="Beginners (0–2 days)"/>
    <x v="4"/>
    <n v="8"/>
  </r>
  <r>
    <s v="U318"/>
    <n v="47"/>
    <x v="1"/>
    <x v="1"/>
    <n v="6.3"/>
    <x v="1"/>
    <n v="5"/>
    <n v="8"/>
    <n v="7"/>
    <n v="2"/>
    <s v="Beginners (0–2 days)"/>
    <x v="5"/>
    <n v="8"/>
  </r>
  <r>
    <s v="U322"/>
    <n v="20"/>
    <x v="0"/>
    <x v="0"/>
    <n v="6.3"/>
    <x v="1"/>
    <n v="6"/>
    <n v="6"/>
    <n v="4"/>
    <n v="2"/>
    <s v="Beginners (0–2 days)"/>
    <x v="0"/>
    <n v="8"/>
  </r>
  <r>
    <s v="U328"/>
    <n v="31"/>
    <x v="2"/>
    <x v="1"/>
    <n v="6.2"/>
    <x v="1"/>
    <n v="6"/>
    <n v="7"/>
    <n v="6"/>
    <n v="2"/>
    <s v="Beginners (0–2 days)"/>
    <x v="2"/>
    <n v="8"/>
  </r>
  <r>
    <s v="U350"/>
    <n v="47"/>
    <x v="1"/>
    <x v="0"/>
    <n v="6"/>
    <x v="1"/>
    <n v="6"/>
    <n v="7"/>
    <n v="3"/>
    <n v="2"/>
    <s v="Beginners (0–2 days)"/>
    <x v="1"/>
    <n v="8"/>
  </r>
  <r>
    <s v="U356"/>
    <n v="31"/>
    <x v="2"/>
    <x v="0"/>
    <n v="6.1"/>
    <x v="1"/>
    <n v="6"/>
    <n v="6"/>
    <n v="2"/>
    <n v="2"/>
    <s v="Beginners (0–2 days)"/>
    <x v="5"/>
    <n v="8"/>
  </r>
  <r>
    <s v="U360"/>
    <n v="42"/>
    <x v="3"/>
    <x v="0"/>
    <n v="6.5"/>
    <x v="1"/>
    <n v="5"/>
    <n v="7"/>
    <n v="1"/>
    <n v="2"/>
    <s v="Beginners (0–2 days)"/>
    <x v="1"/>
    <n v="8"/>
  </r>
  <r>
    <s v="U396"/>
    <n v="39"/>
    <x v="3"/>
    <x v="1"/>
    <n v="6.5"/>
    <x v="1"/>
    <n v="5"/>
    <n v="7"/>
    <n v="2"/>
    <n v="2"/>
    <s v="Beginners (0–2 days)"/>
    <x v="1"/>
    <n v="8"/>
  </r>
  <r>
    <s v="U416"/>
    <n v="29"/>
    <x v="2"/>
    <x v="1"/>
    <n v="3.8"/>
    <x v="2"/>
    <n v="7"/>
    <n v="6"/>
    <n v="3"/>
    <n v="2"/>
    <s v="Beginners (0–2 days)"/>
    <x v="4"/>
    <n v="8"/>
  </r>
  <r>
    <s v="U439"/>
    <n v="24"/>
    <x v="0"/>
    <x v="0"/>
    <n v="5.9"/>
    <x v="2"/>
    <n v="7"/>
    <n v="6"/>
    <n v="1"/>
    <n v="2"/>
    <s v="Beginners (0–2 days)"/>
    <x v="1"/>
    <n v="8"/>
  </r>
  <r>
    <s v="U447"/>
    <n v="37"/>
    <x v="3"/>
    <x v="1"/>
    <n v="7.7"/>
    <x v="1"/>
    <n v="4"/>
    <n v="8"/>
    <n v="5"/>
    <n v="2"/>
    <s v="Beginners (0–2 days)"/>
    <x v="4"/>
    <n v="8"/>
  </r>
  <r>
    <s v="U483"/>
    <n v="16"/>
    <x v="0"/>
    <x v="1"/>
    <n v="5.7"/>
    <x v="2"/>
    <n v="6"/>
    <n v="6"/>
    <n v="0"/>
    <n v="2"/>
    <s v="Beginners (0–2 days)"/>
    <x v="5"/>
    <n v="8"/>
  </r>
  <r>
    <s v="U488"/>
    <n v="27"/>
    <x v="2"/>
    <x v="1"/>
    <n v="5.6"/>
    <x v="2"/>
    <n v="7"/>
    <n v="7"/>
    <n v="5"/>
    <n v="2"/>
    <s v="Beginners (0–2 days)"/>
    <x v="2"/>
    <n v="8"/>
  </r>
  <r>
    <s v="U498"/>
    <n v="41"/>
    <x v="3"/>
    <x v="0"/>
    <n v="7.7"/>
    <x v="1"/>
    <n v="5"/>
    <n v="7"/>
    <n v="2"/>
    <n v="2"/>
    <s v="Beginners (0–2 days)"/>
    <x v="4"/>
    <n v="8"/>
  </r>
  <r>
    <s v="U004"/>
    <n v="36"/>
    <x v="3"/>
    <x v="1"/>
    <n v="5.7"/>
    <x v="2"/>
    <n v="7"/>
    <n v="8"/>
    <n v="1"/>
    <n v="1"/>
    <s v="Beginners (0–2 days)"/>
    <x v="0"/>
    <n v="8"/>
  </r>
  <r>
    <s v="U005"/>
    <n v="34"/>
    <x v="2"/>
    <x v="1"/>
    <n v="7"/>
    <x v="1"/>
    <n v="4"/>
    <n v="7"/>
    <n v="5"/>
    <n v="1"/>
    <s v="Beginners (0–2 days)"/>
    <x v="5"/>
    <n v="8"/>
  </r>
  <r>
    <s v="U013"/>
    <n v="17"/>
    <x v="0"/>
    <x v="1"/>
    <n v="7"/>
    <x v="1"/>
    <n v="7"/>
    <n v="10"/>
    <n v="7"/>
    <n v="1"/>
    <s v="Beginners (0–2 days)"/>
    <x v="3"/>
    <n v="8"/>
  </r>
  <r>
    <s v="U045"/>
    <n v="21"/>
    <x v="0"/>
    <x v="1"/>
    <n v="3.9"/>
    <x v="2"/>
    <n v="6"/>
    <n v="6"/>
    <n v="4"/>
    <n v="1"/>
    <s v="Beginners (0–2 days)"/>
    <x v="5"/>
    <n v="8"/>
  </r>
  <r>
    <s v="U047"/>
    <n v="44"/>
    <x v="3"/>
    <x v="1"/>
    <n v="5"/>
    <x v="2"/>
    <n v="4"/>
    <n v="7"/>
    <n v="2"/>
    <n v="1"/>
    <s v="Beginners (0–2 days)"/>
    <x v="2"/>
    <n v="8"/>
  </r>
  <r>
    <s v="U082"/>
    <n v="23"/>
    <x v="0"/>
    <x v="1"/>
    <n v="6.6"/>
    <x v="1"/>
    <n v="6"/>
    <n v="8"/>
    <n v="5"/>
    <n v="1"/>
    <s v="Beginners (0–2 days)"/>
    <x v="0"/>
    <n v="8"/>
  </r>
  <r>
    <s v="U094"/>
    <n v="20"/>
    <x v="0"/>
    <x v="0"/>
    <n v="3.6"/>
    <x v="2"/>
    <n v="7"/>
    <n v="7"/>
    <n v="2"/>
    <n v="1"/>
    <s v="Beginners (0–2 days)"/>
    <x v="5"/>
    <n v="8"/>
  </r>
  <r>
    <s v="U135"/>
    <n v="30"/>
    <x v="2"/>
    <x v="1"/>
    <n v="7.7"/>
    <x v="1"/>
    <n v="4"/>
    <n v="10"/>
    <n v="2"/>
    <n v="1"/>
    <s v="Beginners (0–2 days)"/>
    <x v="5"/>
    <n v="8"/>
  </r>
  <r>
    <s v="U144"/>
    <n v="17"/>
    <x v="0"/>
    <x v="0"/>
    <n v="7.2"/>
    <x v="1"/>
    <n v="7"/>
    <n v="8"/>
    <n v="3"/>
    <n v="1"/>
    <s v="Beginners (0–2 days)"/>
    <x v="1"/>
    <n v="8"/>
  </r>
  <r>
    <s v="U162"/>
    <n v="21"/>
    <x v="0"/>
    <x v="1"/>
    <n v="3.4"/>
    <x v="2"/>
    <n v="9"/>
    <n v="7"/>
    <n v="5"/>
    <n v="1"/>
    <s v="Beginners (0–2 days)"/>
    <x v="3"/>
    <n v="8"/>
  </r>
  <r>
    <s v="U323"/>
    <n v="37"/>
    <x v="3"/>
    <x v="0"/>
    <n v="5.3"/>
    <x v="2"/>
    <n v="7"/>
    <n v="7"/>
    <n v="5"/>
    <n v="1"/>
    <s v="Beginners (0–2 days)"/>
    <x v="0"/>
    <n v="8"/>
  </r>
  <r>
    <s v="U343"/>
    <n v="38"/>
    <x v="3"/>
    <x v="1"/>
    <n v="5.9"/>
    <x v="2"/>
    <n v="7"/>
    <n v="7"/>
    <n v="1"/>
    <n v="1"/>
    <s v="Beginners (0–2 days)"/>
    <x v="1"/>
    <n v="8"/>
  </r>
  <r>
    <s v="U374"/>
    <n v="46"/>
    <x v="1"/>
    <x v="0"/>
    <n v="4.4000000000000004"/>
    <x v="2"/>
    <n v="7"/>
    <n v="7"/>
    <n v="5"/>
    <n v="1"/>
    <s v="Beginners (0–2 days)"/>
    <x v="3"/>
    <n v="8"/>
  </r>
  <r>
    <s v="U426"/>
    <n v="29"/>
    <x v="2"/>
    <x v="1"/>
    <n v="6.2"/>
    <x v="1"/>
    <n v="6"/>
    <n v="9"/>
    <n v="2"/>
    <n v="1"/>
    <s v="Beginners (0–2 days)"/>
    <x v="3"/>
    <n v="8"/>
  </r>
  <r>
    <s v="U014"/>
    <n v="39"/>
    <x v="3"/>
    <x v="1"/>
    <n v="5.7"/>
    <x v="2"/>
    <n v="5"/>
    <n v="7"/>
    <n v="4"/>
    <n v="0"/>
    <s v="Beginners (0–2 days)"/>
    <x v="2"/>
    <n v="8"/>
  </r>
  <r>
    <s v="U164"/>
    <n v="26"/>
    <x v="2"/>
    <x v="0"/>
    <n v="6.6"/>
    <x v="1"/>
    <n v="6"/>
    <n v="8"/>
    <n v="4"/>
    <n v="0"/>
    <s v="Beginners (0–2 days)"/>
    <x v="2"/>
    <n v="8"/>
  </r>
  <r>
    <s v="U211"/>
    <n v="33"/>
    <x v="2"/>
    <x v="1"/>
    <n v="5"/>
    <x v="2"/>
    <n v="6"/>
    <n v="6"/>
    <n v="0"/>
    <n v="0"/>
    <s v="Beginners (0–2 days)"/>
    <x v="5"/>
    <n v="8"/>
  </r>
  <r>
    <s v="U232"/>
    <n v="42"/>
    <x v="3"/>
    <x v="0"/>
    <n v="6.1"/>
    <x v="1"/>
    <n v="7"/>
    <n v="6"/>
    <n v="4"/>
    <n v="0"/>
    <s v="Beginners (0–2 days)"/>
    <x v="5"/>
    <n v="8"/>
  </r>
  <r>
    <s v="U341"/>
    <n v="48"/>
    <x v="1"/>
    <x v="0"/>
    <n v="4.7"/>
    <x v="2"/>
    <n v="6"/>
    <n v="7"/>
    <n v="3"/>
    <n v="0"/>
    <s v="Beginners (0–2 days)"/>
    <x v="1"/>
    <n v="8"/>
  </r>
  <r>
    <s v="U423"/>
    <n v="36"/>
    <x v="3"/>
    <x v="0"/>
    <n v="7.7"/>
    <x v="1"/>
    <n v="5"/>
    <n v="8"/>
    <n v="4"/>
    <n v="0"/>
    <s v="Beginners (0–2 days)"/>
    <x v="4"/>
    <n v="8"/>
  </r>
  <r>
    <s v="U446"/>
    <n v="16"/>
    <x v="0"/>
    <x v="1"/>
    <n v="6.3"/>
    <x v="1"/>
    <n v="6"/>
    <n v="7"/>
    <n v="6"/>
    <n v="0"/>
    <s v="Beginners (0–2 days)"/>
    <x v="2"/>
    <n v="8"/>
  </r>
  <r>
    <s v="U153"/>
    <n v="47"/>
    <x v="1"/>
    <x v="1"/>
    <n v="2.4"/>
    <x v="3"/>
    <n v="7"/>
    <n v="7"/>
    <n v="5"/>
    <n v="6"/>
    <s v="Advanced (5–7 days)"/>
    <x v="4"/>
    <n v="9"/>
  </r>
  <r>
    <s v="U200"/>
    <n v="18"/>
    <x v="0"/>
    <x v="0"/>
    <n v="5.5"/>
    <x v="2"/>
    <n v="5"/>
    <n v="6"/>
    <n v="2"/>
    <n v="6"/>
    <s v="Advanced (5–7 days)"/>
    <x v="5"/>
    <n v="9"/>
  </r>
  <r>
    <s v="U113"/>
    <n v="37"/>
    <x v="3"/>
    <x v="1"/>
    <n v="4.3"/>
    <x v="2"/>
    <n v="6"/>
    <n v="8"/>
    <n v="3"/>
    <n v="5"/>
    <s v="Advanced (5–7 days)"/>
    <x v="4"/>
    <n v="9"/>
  </r>
  <r>
    <s v="U258"/>
    <n v="46"/>
    <x v="1"/>
    <x v="0"/>
    <n v="5.3"/>
    <x v="2"/>
    <n v="7"/>
    <n v="8"/>
    <n v="5"/>
    <n v="5"/>
    <s v="Advanced (5–7 days)"/>
    <x v="3"/>
    <n v="9"/>
  </r>
  <r>
    <s v="U277"/>
    <n v="35"/>
    <x v="3"/>
    <x v="0"/>
    <n v="6.1"/>
    <x v="1"/>
    <n v="7"/>
    <n v="8"/>
    <n v="3"/>
    <n v="5"/>
    <s v="Advanced (5–7 days)"/>
    <x v="0"/>
    <n v="9"/>
  </r>
  <r>
    <s v="U375"/>
    <n v="17"/>
    <x v="0"/>
    <x v="0"/>
    <n v="5.8"/>
    <x v="2"/>
    <n v="6"/>
    <n v="7"/>
    <n v="1"/>
    <n v="5"/>
    <s v="Advanced (5–7 days)"/>
    <x v="0"/>
    <n v="9"/>
  </r>
  <r>
    <s v="U493"/>
    <n v="27"/>
    <x v="2"/>
    <x v="1"/>
    <n v="4.5"/>
    <x v="2"/>
    <n v="5"/>
    <n v="7"/>
    <n v="6"/>
    <n v="5"/>
    <s v="Advanced (5–7 days)"/>
    <x v="2"/>
    <n v="9"/>
  </r>
  <r>
    <s v="U091"/>
    <n v="29"/>
    <x v="2"/>
    <x v="0"/>
    <n v="4"/>
    <x v="2"/>
    <n v="6"/>
    <n v="4"/>
    <n v="1"/>
    <n v="4"/>
    <s v="Intermediate (3–4 days)"/>
    <x v="3"/>
    <n v="9"/>
  </r>
  <r>
    <s v="U117"/>
    <n v="43"/>
    <x v="3"/>
    <x v="0"/>
    <n v="4.3"/>
    <x v="2"/>
    <n v="7"/>
    <n v="6"/>
    <n v="3"/>
    <n v="4"/>
    <s v="Intermediate (3–4 days)"/>
    <x v="4"/>
    <n v="9"/>
  </r>
  <r>
    <s v="U119"/>
    <n v="35"/>
    <x v="3"/>
    <x v="1"/>
    <n v="6.3"/>
    <x v="1"/>
    <n v="6"/>
    <n v="7"/>
    <n v="6"/>
    <n v="4"/>
    <s v="Intermediate (3–4 days)"/>
    <x v="2"/>
    <n v="9"/>
  </r>
  <r>
    <s v="U214"/>
    <n v="31"/>
    <x v="2"/>
    <x v="1"/>
    <n v="5.5"/>
    <x v="2"/>
    <n v="7"/>
    <n v="7"/>
    <n v="2"/>
    <n v="4"/>
    <s v="Intermediate (3–4 days)"/>
    <x v="4"/>
    <n v="9"/>
  </r>
  <r>
    <s v="U288"/>
    <n v="47"/>
    <x v="1"/>
    <x v="0"/>
    <n v="5.3"/>
    <x v="2"/>
    <n v="6"/>
    <n v="6"/>
    <n v="3"/>
    <n v="4"/>
    <s v="Intermediate (3–4 days)"/>
    <x v="1"/>
    <n v="9"/>
  </r>
  <r>
    <s v="U290"/>
    <n v="37"/>
    <x v="3"/>
    <x v="1"/>
    <n v="3.3"/>
    <x v="2"/>
    <n v="7"/>
    <n v="5"/>
    <n v="6"/>
    <n v="4"/>
    <s v="Intermediate (3–4 days)"/>
    <x v="2"/>
    <n v="9"/>
  </r>
  <r>
    <s v="U291"/>
    <n v="40"/>
    <x v="3"/>
    <x v="0"/>
    <n v="7.5"/>
    <x v="1"/>
    <n v="5"/>
    <n v="7"/>
    <n v="4"/>
    <n v="4"/>
    <s v="Intermediate (3–4 days)"/>
    <x v="0"/>
    <n v="9"/>
  </r>
  <r>
    <s v="U468"/>
    <n v="43"/>
    <x v="3"/>
    <x v="0"/>
    <n v="5.0999999999999996"/>
    <x v="2"/>
    <n v="6"/>
    <n v="6"/>
    <n v="3"/>
    <n v="4"/>
    <s v="Intermediate (3–4 days)"/>
    <x v="4"/>
    <n v="9"/>
  </r>
  <r>
    <s v="U015"/>
    <n v="45"/>
    <x v="1"/>
    <x v="0"/>
    <n v="6.3"/>
    <x v="1"/>
    <n v="7"/>
    <n v="7"/>
    <n v="4"/>
    <n v="3"/>
    <s v="Intermediate (3–4 days)"/>
    <x v="5"/>
    <n v="9"/>
  </r>
  <r>
    <s v="U046"/>
    <n v="19"/>
    <x v="0"/>
    <x v="0"/>
    <n v="6.9"/>
    <x v="1"/>
    <n v="5"/>
    <n v="7"/>
    <n v="2"/>
    <n v="3"/>
    <s v="Intermediate (3–4 days)"/>
    <x v="2"/>
    <n v="9"/>
  </r>
  <r>
    <s v="U048"/>
    <n v="33"/>
    <x v="2"/>
    <x v="1"/>
    <n v="4.0999999999999996"/>
    <x v="2"/>
    <n v="8"/>
    <n v="7"/>
    <n v="6"/>
    <n v="3"/>
    <s v="Intermediate (3–4 days)"/>
    <x v="4"/>
    <n v="9"/>
  </r>
  <r>
    <s v="U064"/>
    <n v="44"/>
    <x v="3"/>
    <x v="1"/>
    <n v="4.4000000000000004"/>
    <x v="2"/>
    <n v="6"/>
    <n v="7"/>
    <n v="1"/>
    <n v="3"/>
    <s v="Intermediate (3–4 days)"/>
    <x v="4"/>
    <n v="9"/>
  </r>
  <r>
    <s v="U107"/>
    <n v="38"/>
    <x v="3"/>
    <x v="0"/>
    <n v="6.2"/>
    <x v="1"/>
    <n v="7"/>
    <n v="7"/>
    <n v="1"/>
    <n v="3"/>
    <s v="Intermediate (3–4 days)"/>
    <x v="1"/>
    <n v="9"/>
  </r>
  <r>
    <s v="U128"/>
    <n v="18"/>
    <x v="0"/>
    <x v="1"/>
    <n v="3.1"/>
    <x v="2"/>
    <n v="7"/>
    <n v="6"/>
    <n v="4"/>
    <n v="3"/>
    <s v="Intermediate (3–4 days)"/>
    <x v="0"/>
    <n v="9"/>
  </r>
  <r>
    <s v="U134"/>
    <n v="39"/>
    <x v="3"/>
    <x v="1"/>
    <n v="5.6"/>
    <x v="2"/>
    <n v="8"/>
    <n v="6"/>
    <n v="2"/>
    <n v="3"/>
    <s v="Intermediate (3–4 days)"/>
    <x v="4"/>
    <n v="9"/>
  </r>
  <r>
    <s v="U191"/>
    <n v="41"/>
    <x v="3"/>
    <x v="0"/>
    <n v="3.1"/>
    <x v="2"/>
    <n v="7"/>
    <n v="7"/>
    <n v="2"/>
    <n v="3"/>
    <s v="Intermediate (3–4 days)"/>
    <x v="3"/>
    <n v="9"/>
  </r>
  <r>
    <s v="U202"/>
    <n v="39"/>
    <x v="3"/>
    <x v="0"/>
    <n v="4.3"/>
    <x v="2"/>
    <n v="9"/>
    <n v="7"/>
    <n v="1"/>
    <n v="3"/>
    <s v="Intermediate (3–4 days)"/>
    <x v="0"/>
    <n v="9"/>
  </r>
  <r>
    <s v="U212"/>
    <n v="33"/>
    <x v="2"/>
    <x v="0"/>
    <n v="4.8"/>
    <x v="2"/>
    <n v="5"/>
    <n v="6"/>
    <n v="4"/>
    <n v="3"/>
    <s v="Intermediate (3–4 days)"/>
    <x v="4"/>
    <n v="9"/>
  </r>
  <r>
    <s v="U229"/>
    <n v="45"/>
    <x v="1"/>
    <x v="1"/>
    <n v="6"/>
    <x v="1"/>
    <n v="8"/>
    <n v="7"/>
    <n v="2"/>
    <n v="3"/>
    <s v="Intermediate (3–4 days)"/>
    <x v="2"/>
    <n v="9"/>
  </r>
  <r>
    <s v="U255"/>
    <n v="18"/>
    <x v="0"/>
    <x v="1"/>
    <n v="4.5999999999999996"/>
    <x v="2"/>
    <n v="8"/>
    <n v="7"/>
    <n v="6"/>
    <n v="3"/>
    <s v="Intermediate (3–4 days)"/>
    <x v="0"/>
    <n v="9"/>
  </r>
  <r>
    <s v="U286"/>
    <n v="49"/>
    <x v="1"/>
    <x v="0"/>
    <n v="6.1"/>
    <x v="1"/>
    <n v="5"/>
    <n v="6"/>
    <n v="4"/>
    <n v="3"/>
    <s v="Intermediate (3–4 days)"/>
    <x v="4"/>
    <n v="9"/>
  </r>
  <r>
    <s v="U311"/>
    <n v="41"/>
    <x v="3"/>
    <x v="1"/>
    <n v="4.9000000000000004"/>
    <x v="2"/>
    <n v="7"/>
    <n v="6"/>
    <n v="3"/>
    <n v="3"/>
    <s v="Intermediate (3–4 days)"/>
    <x v="0"/>
    <n v="9"/>
  </r>
  <r>
    <s v="U324"/>
    <n v="44"/>
    <x v="3"/>
    <x v="1"/>
    <n v="7.5"/>
    <x v="1"/>
    <n v="7"/>
    <n v="8"/>
    <n v="4"/>
    <n v="3"/>
    <s v="Intermediate (3–4 days)"/>
    <x v="3"/>
    <n v="9"/>
  </r>
  <r>
    <s v="U352"/>
    <n v="20"/>
    <x v="0"/>
    <x v="1"/>
    <n v="5"/>
    <x v="2"/>
    <n v="6"/>
    <n v="5"/>
    <n v="3"/>
    <n v="3"/>
    <s v="Intermediate (3–4 days)"/>
    <x v="3"/>
    <n v="9"/>
  </r>
  <r>
    <s v="U353"/>
    <n v="19"/>
    <x v="0"/>
    <x v="1"/>
    <n v="6.1"/>
    <x v="1"/>
    <n v="6"/>
    <n v="8"/>
    <n v="3"/>
    <n v="3"/>
    <s v="Intermediate (3–4 days)"/>
    <x v="5"/>
    <n v="9"/>
  </r>
  <r>
    <s v="U365"/>
    <n v="48"/>
    <x v="1"/>
    <x v="0"/>
    <n v="5.7"/>
    <x v="2"/>
    <n v="7"/>
    <n v="7"/>
    <n v="1"/>
    <n v="3"/>
    <s v="Intermediate (3–4 days)"/>
    <x v="2"/>
    <n v="9"/>
  </r>
  <r>
    <s v="U410"/>
    <n v="27"/>
    <x v="2"/>
    <x v="1"/>
    <n v="5.2"/>
    <x v="2"/>
    <n v="4"/>
    <n v="7"/>
    <n v="7"/>
    <n v="3"/>
    <s v="Intermediate (3–4 days)"/>
    <x v="0"/>
    <n v="9"/>
  </r>
  <r>
    <s v="U415"/>
    <n v="43"/>
    <x v="3"/>
    <x v="0"/>
    <n v="5.8"/>
    <x v="2"/>
    <n v="6"/>
    <n v="7"/>
    <n v="4"/>
    <n v="3"/>
    <s v="Intermediate (3–4 days)"/>
    <x v="4"/>
    <n v="9"/>
  </r>
  <r>
    <s v="U438"/>
    <n v="28"/>
    <x v="2"/>
    <x v="0"/>
    <n v="4"/>
    <x v="2"/>
    <n v="7"/>
    <n v="5"/>
    <n v="1"/>
    <n v="3"/>
    <s v="Intermediate (3–4 days)"/>
    <x v="4"/>
    <n v="9"/>
  </r>
  <r>
    <s v="U019"/>
    <n v="27"/>
    <x v="2"/>
    <x v="0"/>
    <n v="4.7"/>
    <x v="2"/>
    <n v="6"/>
    <n v="6"/>
    <n v="0"/>
    <n v="2"/>
    <s v="Beginners (0–2 days)"/>
    <x v="1"/>
    <n v="9"/>
  </r>
  <r>
    <s v="U031"/>
    <n v="19"/>
    <x v="0"/>
    <x v="0"/>
    <n v="7.1"/>
    <x v="1"/>
    <n v="5"/>
    <n v="8"/>
    <n v="5"/>
    <n v="2"/>
    <s v="Beginners (0–2 days)"/>
    <x v="5"/>
    <n v="9"/>
  </r>
  <r>
    <s v="U086"/>
    <n v="38"/>
    <x v="3"/>
    <x v="1"/>
    <n v="5.7"/>
    <x v="2"/>
    <n v="5"/>
    <n v="6"/>
    <n v="3"/>
    <n v="2"/>
    <s v="Beginners (0–2 days)"/>
    <x v="0"/>
    <n v="9"/>
  </r>
  <r>
    <s v="U092"/>
    <n v="18"/>
    <x v="0"/>
    <x v="0"/>
    <n v="5.5"/>
    <x v="2"/>
    <n v="6"/>
    <n v="6"/>
    <n v="4"/>
    <n v="2"/>
    <s v="Beginners (0–2 days)"/>
    <x v="4"/>
    <n v="9"/>
  </r>
  <r>
    <s v="U093"/>
    <n v="16"/>
    <x v="0"/>
    <x v="0"/>
    <n v="6.8"/>
    <x v="1"/>
    <n v="7"/>
    <n v="6"/>
    <n v="6"/>
    <n v="2"/>
    <s v="Beginners (0–2 days)"/>
    <x v="4"/>
    <n v="9"/>
  </r>
  <r>
    <s v="U104"/>
    <n v="47"/>
    <x v="1"/>
    <x v="0"/>
    <n v="6"/>
    <x v="1"/>
    <n v="6"/>
    <n v="7"/>
    <n v="6"/>
    <n v="2"/>
    <s v="Beginners (0–2 days)"/>
    <x v="2"/>
    <n v="9"/>
  </r>
  <r>
    <s v="U121"/>
    <n v="26"/>
    <x v="2"/>
    <x v="0"/>
    <n v="5.0999999999999996"/>
    <x v="2"/>
    <n v="6"/>
    <n v="5"/>
    <n v="5"/>
    <n v="2"/>
    <s v="Beginners (0–2 days)"/>
    <x v="5"/>
    <n v="9"/>
  </r>
  <r>
    <s v="U145"/>
    <n v="43"/>
    <x v="3"/>
    <x v="0"/>
    <n v="4.5999999999999996"/>
    <x v="2"/>
    <n v="8"/>
    <n v="7"/>
    <n v="0"/>
    <n v="2"/>
    <s v="Beginners (0–2 days)"/>
    <x v="0"/>
    <n v="9"/>
  </r>
  <r>
    <s v="U210"/>
    <n v="44"/>
    <x v="3"/>
    <x v="0"/>
    <n v="4.5"/>
    <x v="2"/>
    <n v="6"/>
    <n v="6"/>
    <n v="0"/>
    <n v="2"/>
    <s v="Beginners (0–2 days)"/>
    <x v="1"/>
    <n v="9"/>
  </r>
  <r>
    <s v="U220"/>
    <n v="35"/>
    <x v="3"/>
    <x v="1"/>
    <n v="5.3"/>
    <x v="2"/>
    <n v="6"/>
    <n v="6"/>
    <n v="3"/>
    <n v="2"/>
    <s v="Beginners (0–2 days)"/>
    <x v="5"/>
    <n v="9"/>
  </r>
  <r>
    <s v="U237"/>
    <n v="43"/>
    <x v="3"/>
    <x v="1"/>
    <n v="5.7"/>
    <x v="2"/>
    <n v="7"/>
    <n v="7"/>
    <n v="3"/>
    <n v="2"/>
    <s v="Beginners (0–2 days)"/>
    <x v="4"/>
    <n v="9"/>
  </r>
  <r>
    <s v="U238"/>
    <n v="48"/>
    <x v="1"/>
    <x v="0"/>
    <n v="7.2"/>
    <x v="1"/>
    <n v="6"/>
    <n v="8"/>
    <n v="6"/>
    <n v="2"/>
    <s v="Beginners (0–2 days)"/>
    <x v="2"/>
    <n v="9"/>
  </r>
  <r>
    <s v="U251"/>
    <n v="36"/>
    <x v="3"/>
    <x v="1"/>
    <n v="3.8"/>
    <x v="2"/>
    <n v="7"/>
    <n v="5"/>
    <n v="3"/>
    <n v="2"/>
    <s v="Beginners (0–2 days)"/>
    <x v="2"/>
    <n v="9"/>
  </r>
  <r>
    <s v="U299"/>
    <n v="19"/>
    <x v="0"/>
    <x v="1"/>
    <n v="6.7"/>
    <x v="1"/>
    <n v="6"/>
    <n v="5"/>
    <n v="4"/>
    <n v="2"/>
    <s v="Beginners (0–2 days)"/>
    <x v="2"/>
    <n v="9"/>
  </r>
  <r>
    <s v="U327"/>
    <n v="41"/>
    <x v="3"/>
    <x v="0"/>
    <n v="3.9"/>
    <x v="2"/>
    <n v="6"/>
    <n v="4"/>
    <n v="5"/>
    <n v="2"/>
    <s v="Beginners (0–2 days)"/>
    <x v="0"/>
    <n v="9"/>
  </r>
  <r>
    <s v="U340"/>
    <n v="36"/>
    <x v="3"/>
    <x v="1"/>
    <n v="6.1"/>
    <x v="1"/>
    <n v="7"/>
    <n v="7"/>
    <n v="5"/>
    <n v="2"/>
    <s v="Beginners (0–2 days)"/>
    <x v="3"/>
    <n v="9"/>
  </r>
  <r>
    <s v="U381"/>
    <n v="41"/>
    <x v="3"/>
    <x v="1"/>
    <n v="5.6"/>
    <x v="2"/>
    <n v="6"/>
    <n v="7"/>
    <n v="2"/>
    <n v="2"/>
    <s v="Beginners (0–2 days)"/>
    <x v="1"/>
    <n v="9"/>
  </r>
  <r>
    <s v="U383"/>
    <n v="41"/>
    <x v="3"/>
    <x v="0"/>
    <n v="4.7"/>
    <x v="2"/>
    <n v="6"/>
    <n v="6"/>
    <n v="1"/>
    <n v="2"/>
    <s v="Beginners (0–2 days)"/>
    <x v="5"/>
    <n v="9"/>
  </r>
  <r>
    <s v="U395"/>
    <n v="47"/>
    <x v="1"/>
    <x v="1"/>
    <n v="5.2"/>
    <x v="2"/>
    <n v="7"/>
    <n v="7"/>
    <n v="3"/>
    <n v="2"/>
    <s v="Beginners (0–2 days)"/>
    <x v="2"/>
    <n v="9"/>
  </r>
  <r>
    <s v="U401"/>
    <n v="38"/>
    <x v="3"/>
    <x v="1"/>
    <n v="7.2"/>
    <x v="1"/>
    <n v="5"/>
    <n v="8"/>
    <n v="1"/>
    <n v="2"/>
    <s v="Beginners (0–2 days)"/>
    <x v="3"/>
    <n v="9"/>
  </r>
  <r>
    <s v="U417"/>
    <n v="46"/>
    <x v="1"/>
    <x v="0"/>
    <n v="8"/>
    <x v="0"/>
    <n v="4"/>
    <n v="8"/>
    <n v="3"/>
    <n v="2"/>
    <s v="Beginners (0–2 days)"/>
    <x v="2"/>
    <n v="9"/>
  </r>
  <r>
    <s v="U435"/>
    <n v="25"/>
    <x v="2"/>
    <x v="1"/>
    <n v="6.9"/>
    <x v="1"/>
    <n v="7"/>
    <n v="7"/>
    <n v="0"/>
    <n v="2"/>
    <s v="Beginners (0–2 days)"/>
    <x v="0"/>
    <n v="9"/>
  </r>
  <r>
    <s v="U440"/>
    <n v="42"/>
    <x v="3"/>
    <x v="0"/>
    <n v="4.0999999999999996"/>
    <x v="2"/>
    <n v="6"/>
    <n v="6"/>
    <n v="4"/>
    <n v="2"/>
    <s v="Beginners (0–2 days)"/>
    <x v="2"/>
    <n v="9"/>
  </r>
  <r>
    <s v="U497"/>
    <n v="43"/>
    <x v="3"/>
    <x v="1"/>
    <n v="5.6"/>
    <x v="2"/>
    <n v="7"/>
    <n v="6"/>
    <n v="5"/>
    <n v="2"/>
    <s v="Beginners (0–2 days)"/>
    <x v="2"/>
    <n v="9"/>
  </r>
  <r>
    <s v="U499"/>
    <n v="23"/>
    <x v="0"/>
    <x v="0"/>
    <n v="4.2"/>
    <x v="2"/>
    <n v="9"/>
    <n v="7"/>
    <n v="0"/>
    <n v="2"/>
    <s v="Beginners (0–2 days)"/>
    <x v="2"/>
    <n v="9"/>
  </r>
  <r>
    <s v="U009"/>
    <n v="39"/>
    <x v="3"/>
    <x v="0"/>
    <n v="4.7"/>
    <x v="2"/>
    <n v="7"/>
    <n v="7"/>
    <n v="6"/>
    <n v="1"/>
    <s v="Beginners (0–2 days)"/>
    <x v="3"/>
    <n v="9"/>
  </r>
  <r>
    <s v="U023"/>
    <n v="43"/>
    <x v="3"/>
    <x v="0"/>
    <n v="3.6"/>
    <x v="2"/>
    <n v="8"/>
    <n v="5"/>
    <n v="3"/>
    <n v="1"/>
    <s v="Beginners (0–2 days)"/>
    <x v="2"/>
    <n v="9"/>
  </r>
  <r>
    <s v="U049"/>
    <n v="41"/>
    <x v="3"/>
    <x v="0"/>
    <n v="3.7"/>
    <x v="2"/>
    <n v="8"/>
    <n v="6"/>
    <n v="3"/>
    <n v="1"/>
    <s v="Beginners (0–2 days)"/>
    <x v="0"/>
    <n v="9"/>
  </r>
  <r>
    <s v="U050"/>
    <n v="49"/>
    <x v="1"/>
    <x v="0"/>
    <n v="3.6"/>
    <x v="2"/>
    <n v="7"/>
    <n v="5"/>
    <n v="4"/>
    <n v="1"/>
    <s v="Beginners (0–2 days)"/>
    <x v="0"/>
    <n v="9"/>
  </r>
  <r>
    <s v="U058"/>
    <n v="36"/>
    <x v="3"/>
    <x v="1"/>
    <n v="4.3"/>
    <x v="2"/>
    <n v="7"/>
    <n v="6"/>
    <n v="4"/>
    <n v="1"/>
    <s v="Beginners (0–2 days)"/>
    <x v="5"/>
    <n v="9"/>
  </r>
  <r>
    <s v="U062"/>
    <n v="41"/>
    <x v="3"/>
    <x v="1"/>
    <n v="5.6"/>
    <x v="2"/>
    <n v="6"/>
    <n v="7"/>
    <n v="2"/>
    <n v="1"/>
    <s v="Beginners (0–2 days)"/>
    <x v="0"/>
    <n v="9"/>
  </r>
  <r>
    <s v="U118"/>
    <n v="43"/>
    <x v="3"/>
    <x v="1"/>
    <n v="6.4"/>
    <x v="1"/>
    <n v="6"/>
    <n v="7"/>
    <n v="1"/>
    <n v="1"/>
    <s v="Beginners (0–2 days)"/>
    <x v="1"/>
    <n v="9"/>
  </r>
  <r>
    <s v="U125"/>
    <n v="16"/>
    <x v="0"/>
    <x v="0"/>
    <n v="5.5"/>
    <x v="2"/>
    <n v="7"/>
    <n v="7"/>
    <n v="4"/>
    <n v="1"/>
    <s v="Beginners (0–2 days)"/>
    <x v="1"/>
    <n v="9"/>
  </r>
  <r>
    <s v="U126"/>
    <n v="42"/>
    <x v="3"/>
    <x v="0"/>
    <n v="5.7"/>
    <x v="2"/>
    <n v="7"/>
    <n v="7"/>
    <n v="0"/>
    <n v="1"/>
    <s v="Beginners (0–2 days)"/>
    <x v="4"/>
    <n v="9"/>
  </r>
  <r>
    <s v="U147"/>
    <n v="47"/>
    <x v="1"/>
    <x v="0"/>
    <n v="6.2"/>
    <x v="1"/>
    <n v="5"/>
    <n v="7"/>
    <n v="6"/>
    <n v="1"/>
    <s v="Beginners (0–2 days)"/>
    <x v="3"/>
    <n v="9"/>
  </r>
  <r>
    <s v="U239"/>
    <n v="20"/>
    <x v="0"/>
    <x v="1"/>
    <n v="5.0999999999999996"/>
    <x v="2"/>
    <n v="4"/>
    <n v="5"/>
    <n v="2"/>
    <n v="1"/>
    <s v="Beginners (0–2 days)"/>
    <x v="4"/>
    <n v="9"/>
  </r>
  <r>
    <s v="U246"/>
    <n v="21"/>
    <x v="0"/>
    <x v="1"/>
    <n v="4.5"/>
    <x v="2"/>
    <n v="6"/>
    <n v="6"/>
    <n v="4"/>
    <n v="1"/>
    <s v="Beginners (0–2 days)"/>
    <x v="4"/>
    <n v="9"/>
  </r>
  <r>
    <s v="U312"/>
    <n v="38"/>
    <x v="3"/>
    <x v="0"/>
    <n v="4.5"/>
    <x v="2"/>
    <n v="7"/>
    <n v="6"/>
    <n v="2"/>
    <n v="1"/>
    <s v="Beginners (0–2 days)"/>
    <x v="0"/>
    <n v="9"/>
  </r>
  <r>
    <s v="U386"/>
    <n v="19"/>
    <x v="0"/>
    <x v="0"/>
    <n v="2.7"/>
    <x v="3"/>
    <n v="8"/>
    <n v="5"/>
    <n v="2"/>
    <n v="1"/>
    <s v="Beginners (0–2 days)"/>
    <x v="4"/>
    <n v="9"/>
  </r>
  <r>
    <s v="U394"/>
    <n v="33"/>
    <x v="2"/>
    <x v="1"/>
    <n v="6.2"/>
    <x v="1"/>
    <n v="6"/>
    <n v="7"/>
    <n v="4"/>
    <n v="1"/>
    <s v="Beginners (0–2 days)"/>
    <x v="2"/>
    <n v="9"/>
  </r>
  <r>
    <s v="U414"/>
    <n v="22"/>
    <x v="0"/>
    <x v="1"/>
    <n v="5.9"/>
    <x v="2"/>
    <n v="5"/>
    <n v="6"/>
    <n v="2"/>
    <n v="1"/>
    <s v="Beginners (0–2 days)"/>
    <x v="4"/>
    <n v="9"/>
  </r>
  <r>
    <s v="U428"/>
    <n v="20"/>
    <x v="0"/>
    <x v="0"/>
    <n v="3.2"/>
    <x v="2"/>
    <n v="7"/>
    <n v="5"/>
    <n v="5"/>
    <n v="1"/>
    <s v="Beginners (0–2 days)"/>
    <x v="5"/>
    <n v="9"/>
  </r>
  <r>
    <s v="U456"/>
    <n v="25"/>
    <x v="2"/>
    <x v="0"/>
    <n v="4.0999999999999996"/>
    <x v="2"/>
    <n v="6"/>
    <n v="5"/>
    <n v="5"/>
    <n v="1"/>
    <s v="Beginners (0–2 days)"/>
    <x v="5"/>
    <n v="9"/>
  </r>
  <r>
    <s v="U461"/>
    <n v="43"/>
    <x v="3"/>
    <x v="0"/>
    <n v="6"/>
    <x v="1"/>
    <n v="6"/>
    <n v="5"/>
    <n v="5"/>
    <n v="1"/>
    <s v="Beginners (0–2 days)"/>
    <x v="1"/>
    <n v="9"/>
  </r>
  <r>
    <s v="U479"/>
    <n v="33"/>
    <x v="2"/>
    <x v="0"/>
    <n v="6.8"/>
    <x v="1"/>
    <n v="6"/>
    <n v="8"/>
    <n v="2"/>
    <n v="1"/>
    <s v="Beginners (0–2 days)"/>
    <x v="0"/>
    <n v="9"/>
  </r>
  <r>
    <s v="U485"/>
    <n v="31"/>
    <x v="2"/>
    <x v="1"/>
    <n v="3.7"/>
    <x v="2"/>
    <n v="7"/>
    <n v="7"/>
    <n v="0"/>
    <n v="1"/>
    <s v="Beginners (0–2 days)"/>
    <x v="4"/>
    <n v="9"/>
  </r>
  <r>
    <s v="U105"/>
    <n v="19"/>
    <x v="0"/>
    <x v="0"/>
    <n v="7.2"/>
    <x v="1"/>
    <n v="5"/>
    <n v="6"/>
    <n v="1"/>
    <n v="0"/>
    <s v="Beginners (0–2 days)"/>
    <x v="4"/>
    <n v="9"/>
  </r>
  <r>
    <s v="U130"/>
    <n v="23"/>
    <x v="0"/>
    <x v="0"/>
    <n v="5.9"/>
    <x v="2"/>
    <n v="5"/>
    <n v="5"/>
    <n v="4"/>
    <n v="0"/>
    <s v="Beginners (0–2 days)"/>
    <x v="5"/>
    <n v="9"/>
  </r>
  <r>
    <s v="U178"/>
    <n v="47"/>
    <x v="1"/>
    <x v="0"/>
    <n v="5.0999999999999996"/>
    <x v="2"/>
    <n v="7"/>
    <n v="4"/>
    <n v="2"/>
    <n v="0"/>
    <s v="Beginners (0–2 days)"/>
    <x v="0"/>
    <n v="9"/>
  </r>
  <r>
    <s v="U274"/>
    <n v="39"/>
    <x v="3"/>
    <x v="0"/>
    <n v="6.9"/>
    <x v="1"/>
    <n v="5"/>
    <n v="7"/>
    <n v="3"/>
    <n v="0"/>
    <s v="Beginners (0–2 days)"/>
    <x v="3"/>
    <n v="9"/>
  </r>
  <r>
    <s v="U315"/>
    <n v="16"/>
    <x v="0"/>
    <x v="1"/>
    <n v="5.3"/>
    <x v="2"/>
    <n v="6"/>
    <n v="6"/>
    <n v="6"/>
    <n v="0"/>
    <s v="Beginners (0–2 days)"/>
    <x v="2"/>
    <n v="9"/>
  </r>
  <r>
    <s v="U372"/>
    <n v="28"/>
    <x v="2"/>
    <x v="1"/>
    <n v="5"/>
    <x v="2"/>
    <n v="7"/>
    <n v="5"/>
    <n v="4"/>
    <n v="0"/>
    <s v="Beginners (0–2 days)"/>
    <x v="4"/>
    <n v="9"/>
  </r>
  <r>
    <s v="U040"/>
    <n v="23"/>
    <x v="0"/>
    <x v="1"/>
    <n v="1"/>
    <x v="3"/>
    <n v="9"/>
    <n v="5"/>
    <n v="5"/>
    <n v="7"/>
    <s v="Advanced (5–7 days)"/>
    <x v="2"/>
    <n v="10"/>
  </r>
  <r>
    <s v="U490"/>
    <n v="47"/>
    <x v="1"/>
    <x v="1"/>
    <n v="4.9000000000000004"/>
    <x v="2"/>
    <n v="7"/>
    <n v="7"/>
    <n v="1"/>
    <n v="7"/>
    <s v="Advanced (5–7 days)"/>
    <x v="1"/>
    <n v="10"/>
  </r>
  <r>
    <s v="U095"/>
    <n v="41"/>
    <x v="3"/>
    <x v="1"/>
    <n v="1"/>
    <x v="3"/>
    <n v="7"/>
    <n v="5"/>
    <n v="2"/>
    <n v="6"/>
    <s v="Advanced (5–7 days)"/>
    <x v="0"/>
    <n v="10"/>
  </r>
  <r>
    <s v="U295"/>
    <n v="30"/>
    <x v="2"/>
    <x v="1"/>
    <n v="1.7"/>
    <x v="3"/>
    <n v="9"/>
    <n v="4"/>
    <n v="3"/>
    <n v="6"/>
    <s v="Advanced (5–7 days)"/>
    <x v="0"/>
    <n v="10"/>
  </r>
  <r>
    <s v="U001"/>
    <n v="44"/>
    <x v="3"/>
    <x v="0"/>
    <n v="3.1"/>
    <x v="2"/>
    <n v="7"/>
    <n v="6"/>
    <n v="2"/>
    <n v="5"/>
    <s v="Advanced (5–7 days)"/>
    <x v="2"/>
    <n v="10"/>
  </r>
  <r>
    <s v="U016"/>
    <n v="17"/>
    <x v="0"/>
    <x v="1"/>
    <n v="5.0999999999999996"/>
    <x v="2"/>
    <n v="7"/>
    <n v="6"/>
    <n v="2"/>
    <n v="5"/>
    <s v="Advanced (5–7 days)"/>
    <x v="4"/>
    <n v="10"/>
  </r>
  <r>
    <s v="U073"/>
    <n v="39"/>
    <x v="3"/>
    <x v="0"/>
    <n v="6.1"/>
    <x v="1"/>
    <n v="5"/>
    <n v="5"/>
    <n v="1"/>
    <n v="5"/>
    <s v="Advanced (5–7 days)"/>
    <x v="0"/>
    <n v="10"/>
  </r>
  <r>
    <s v="U174"/>
    <n v="41"/>
    <x v="3"/>
    <x v="0"/>
    <n v="4.9000000000000004"/>
    <x v="2"/>
    <n v="7"/>
    <n v="5"/>
    <n v="5"/>
    <n v="5"/>
    <s v="Advanced (5–7 days)"/>
    <x v="3"/>
    <n v="10"/>
  </r>
  <r>
    <s v="U187"/>
    <n v="46"/>
    <x v="1"/>
    <x v="1"/>
    <n v="3.6"/>
    <x v="2"/>
    <n v="9"/>
    <n v="5"/>
    <n v="4"/>
    <n v="5"/>
    <s v="Advanced (5–7 days)"/>
    <x v="0"/>
    <n v="10"/>
  </r>
  <r>
    <s v="U243"/>
    <n v="43"/>
    <x v="3"/>
    <x v="0"/>
    <n v="4.8"/>
    <x v="2"/>
    <n v="6"/>
    <n v="5"/>
    <n v="3"/>
    <n v="5"/>
    <s v="Advanced (5–7 days)"/>
    <x v="3"/>
    <n v="10"/>
  </r>
  <r>
    <s v="U278"/>
    <n v="16"/>
    <x v="0"/>
    <x v="1"/>
    <n v="5"/>
    <x v="2"/>
    <n v="7"/>
    <n v="6"/>
    <n v="1"/>
    <n v="5"/>
    <s v="Advanced (5–7 days)"/>
    <x v="3"/>
    <n v="10"/>
  </r>
  <r>
    <s v="U279"/>
    <n v="23"/>
    <x v="0"/>
    <x v="0"/>
    <n v="2.5"/>
    <x v="3"/>
    <n v="9"/>
    <n v="5"/>
    <n v="7"/>
    <n v="5"/>
    <s v="Advanced (5–7 days)"/>
    <x v="5"/>
    <n v="10"/>
  </r>
  <r>
    <s v="U281"/>
    <n v="29"/>
    <x v="2"/>
    <x v="1"/>
    <n v="5.2"/>
    <x v="2"/>
    <n v="7"/>
    <n v="6"/>
    <n v="1"/>
    <n v="5"/>
    <s v="Advanced (5–7 days)"/>
    <x v="3"/>
    <n v="10"/>
  </r>
  <r>
    <s v="U283"/>
    <n v="38"/>
    <x v="3"/>
    <x v="1"/>
    <n v="1.5"/>
    <x v="3"/>
    <n v="9"/>
    <n v="4"/>
    <n v="5"/>
    <n v="5"/>
    <s v="Advanced (5–7 days)"/>
    <x v="4"/>
    <n v="10"/>
  </r>
  <r>
    <s v="U301"/>
    <n v="47"/>
    <x v="1"/>
    <x v="1"/>
    <n v="4"/>
    <x v="2"/>
    <n v="8"/>
    <n v="4"/>
    <n v="3"/>
    <n v="5"/>
    <s v="Advanced (5–7 days)"/>
    <x v="2"/>
    <n v="10"/>
  </r>
  <r>
    <s v="U411"/>
    <n v="34"/>
    <x v="2"/>
    <x v="0"/>
    <n v="3.8"/>
    <x v="2"/>
    <n v="7"/>
    <n v="6"/>
    <n v="7"/>
    <n v="5"/>
    <s v="Advanced (5–7 days)"/>
    <x v="0"/>
    <n v="10"/>
  </r>
  <r>
    <s v="U424"/>
    <n v="38"/>
    <x v="3"/>
    <x v="1"/>
    <n v="6.2"/>
    <x v="1"/>
    <n v="7"/>
    <n v="6"/>
    <n v="6"/>
    <n v="5"/>
    <s v="Advanced (5–7 days)"/>
    <x v="4"/>
    <n v="10"/>
  </r>
  <r>
    <s v="U452"/>
    <n v="21"/>
    <x v="0"/>
    <x v="1"/>
    <n v="2.5"/>
    <x v="3"/>
    <n v="9"/>
    <n v="3"/>
    <n v="2"/>
    <n v="5"/>
    <s v="Advanced (5–7 days)"/>
    <x v="0"/>
    <n v="10"/>
  </r>
  <r>
    <s v="U463"/>
    <n v="43"/>
    <x v="3"/>
    <x v="1"/>
    <n v="2.6"/>
    <x v="3"/>
    <n v="9"/>
    <n v="5"/>
    <n v="4"/>
    <n v="5"/>
    <s v="Advanced (5–7 days)"/>
    <x v="1"/>
    <n v="10"/>
  </r>
  <r>
    <s v="U474"/>
    <n v="31"/>
    <x v="2"/>
    <x v="1"/>
    <n v="5.7"/>
    <x v="2"/>
    <n v="7"/>
    <n v="5"/>
    <n v="3"/>
    <n v="5"/>
    <s v="Advanced (5–7 days)"/>
    <x v="1"/>
    <n v="10"/>
  </r>
  <r>
    <s v="U018"/>
    <n v="48"/>
    <x v="1"/>
    <x v="0"/>
    <n v="5.4"/>
    <x v="2"/>
    <n v="6"/>
    <n v="4"/>
    <n v="3"/>
    <n v="4"/>
    <s v="Intermediate (3–4 days)"/>
    <x v="0"/>
    <n v="10"/>
  </r>
  <r>
    <s v="U020"/>
    <n v="37"/>
    <x v="3"/>
    <x v="0"/>
    <n v="7.1"/>
    <x v="1"/>
    <n v="6"/>
    <n v="6"/>
    <n v="5"/>
    <n v="4"/>
    <s v="Intermediate (3–4 days)"/>
    <x v="0"/>
    <n v="10"/>
  </r>
  <r>
    <s v="U021"/>
    <n v="40"/>
    <x v="3"/>
    <x v="1"/>
    <n v="3"/>
    <x v="2"/>
    <n v="8"/>
    <n v="5"/>
    <n v="5"/>
    <n v="4"/>
    <s v="Intermediate (3–4 days)"/>
    <x v="5"/>
    <n v="10"/>
  </r>
  <r>
    <s v="U132"/>
    <n v="24"/>
    <x v="0"/>
    <x v="0"/>
    <n v="4.8"/>
    <x v="2"/>
    <n v="8"/>
    <n v="4"/>
    <n v="6"/>
    <n v="4"/>
    <s v="Intermediate (3–4 days)"/>
    <x v="4"/>
    <n v="10"/>
  </r>
  <r>
    <s v="U137"/>
    <n v="47"/>
    <x v="1"/>
    <x v="1"/>
    <n v="5.8"/>
    <x v="2"/>
    <n v="6"/>
    <n v="7"/>
    <n v="3"/>
    <n v="4"/>
    <s v="Intermediate (3–4 days)"/>
    <x v="0"/>
    <n v="10"/>
  </r>
  <r>
    <s v="U155"/>
    <n v="47"/>
    <x v="1"/>
    <x v="1"/>
    <n v="3.3"/>
    <x v="2"/>
    <n v="8"/>
    <n v="5"/>
    <n v="4"/>
    <n v="4"/>
    <s v="Intermediate (3–4 days)"/>
    <x v="3"/>
    <n v="10"/>
  </r>
  <r>
    <s v="U156"/>
    <n v="19"/>
    <x v="0"/>
    <x v="1"/>
    <n v="5.2"/>
    <x v="2"/>
    <n v="7"/>
    <n v="5"/>
    <n v="4"/>
    <n v="4"/>
    <s v="Intermediate (3–4 days)"/>
    <x v="4"/>
    <n v="10"/>
  </r>
  <r>
    <s v="U168"/>
    <n v="21"/>
    <x v="0"/>
    <x v="0"/>
    <n v="5.0999999999999996"/>
    <x v="2"/>
    <n v="6"/>
    <n v="5"/>
    <n v="4"/>
    <n v="4"/>
    <s v="Intermediate (3–4 days)"/>
    <x v="5"/>
    <n v="10"/>
  </r>
  <r>
    <s v="U190"/>
    <n v="31"/>
    <x v="2"/>
    <x v="1"/>
    <n v="4.0999999999999996"/>
    <x v="2"/>
    <n v="8"/>
    <n v="6"/>
    <n v="0"/>
    <n v="4"/>
    <s v="Intermediate (3–4 days)"/>
    <x v="5"/>
    <n v="10"/>
  </r>
  <r>
    <s v="U219"/>
    <n v="36"/>
    <x v="3"/>
    <x v="1"/>
    <n v="5"/>
    <x v="2"/>
    <n v="8"/>
    <n v="6"/>
    <n v="4"/>
    <n v="4"/>
    <s v="Intermediate (3–4 days)"/>
    <x v="4"/>
    <n v="10"/>
  </r>
  <r>
    <s v="U263"/>
    <n v="38"/>
    <x v="3"/>
    <x v="1"/>
    <n v="2.7"/>
    <x v="3"/>
    <n v="6"/>
    <n v="3"/>
    <n v="4"/>
    <n v="4"/>
    <s v="Intermediate (3–4 days)"/>
    <x v="3"/>
    <n v="10"/>
  </r>
  <r>
    <s v="U272"/>
    <n v="41"/>
    <x v="3"/>
    <x v="0"/>
    <n v="3.2"/>
    <x v="2"/>
    <n v="8"/>
    <n v="6"/>
    <n v="0"/>
    <n v="4"/>
    <s v="Intermediate (3–4 days)"/>
    <x v="5"/>
    <n v="10"/>
  </r>
  <r>
    <s v="U316"/>
    <n v="16"/>
    <x v="0"/>
    <x v="0"/>
    <n v="3.6"/>
    <x v="2"/>
    <n v="7"/>
    <n v="5"/>
    <n v="5"/>
    <n v="4"/>
    <s v="Intermediate (3–4 days)"/>
    <x v="0"/>
    <n v="10"/>
  </r>
  <r>
    <s v="U336"/>
    <n v="27"/>
    <x v="2"/>
    <x v="0"/>
    <n v="3.8"/>
    <x v="2"/>
    <n v="8"/>
    <n v="6"/>
    <n v="6"/>
    <n v="4"/>
    <s v="Intermediate (3–4 days)"/>
    <x v="2"/>
    <n v="10"/>
  </r>
  <r>
    <s v="U349"/>
    <n v="34"/>
    <x v="2"/>
    <x v="0"/>
    <n v="4.0999999999999996"/>
    <x v="2"/>
    <n v="8"/>
    <n v="4"/>
    <n v="5"/>
    <n v="4"/>
    <s v="Intermediate (3–4 days)"/>
    <x v="4"/>
    <n v="10"/>
  </r>
  <r>
    <s v="U357"/>
    <n v="17"/>
    <x v="0"/>
    <x v="1"/>
    <n v="2.5"/>
    <x v="3"/>
    <n v="9"/>
    <n v="4"/>
    <n v="5"/>
    <n v="4"/>
    <s v="Intermediate (3–4 days)"/>
    <x v="3"/>
    <n v="10"/>
  </r>
  <r>
    <s v="U368"/>
    <n v="16"/>
    <x v="0"/>
    <x v="0"/>
    <n v="2.5"/>
    <x v="3"/>
    <n v="8"/>
    <n v="4"/>
    <n v="4"/>
    <n v="4"/>
    <s v="Intermediate (3–4 days)"/>
    <x v="3"/>
    <n v="10"/>
  </r>
  <r>
    <s v="U385"/>
    <n v="22"/>
    <x v="0"/>
    <x v="1"/>
    <n v="3.4"/>
    <x v="2"/>
    <n v="8"/>
    <n v="6"/>
    <n v="4"/>
    <n v="4"/>
    <s v="Intermediate (3–4 days)"/>
    <x v="5"/>
    <n v="10"/>
  </r>
  <r>
    <s v="U388"/>
    <n v="44"/>
    <x v="3"/>
    <x v="1"/>
    <n v="2.2000000000000002"/>
    <x v="3"/>
    <n v="9"/>
    <n v="4"/>
    <n v="4"/>
    <n v="4"/>
    <s v="Intermediate (3–4 days)"/>
    <x v="3"/>
    <n v="10"/>
  </r>
  <r>
    <s v="U398"/>
    <n v="47"/>
    <x v="1"/>
    <x v="1"/>
    <n v="3.8"/>
    <x v="2"/>
    <n v="8"/>
    <n v="4"/>
    <n v="2"/>
    <n v="4"/>
    <s v="Intermediate (3–4 days)"/>
    <x v="4"/>
    <n v="10"/>
  </r>
  <r>
    <s v="U399"/>
    <n v="27"/>
    <x v="2"/>
    <x v="0"/>
    <n v="3.9"/>
    <x v="2"/>
    <n v="7"/>
    <n v="5"/>
    <n v="0"/>
    <n v="4"/>
    <s v="Intermediate (3–4 days)"/>
    <x v="3"/>
    <n v="10"/>
  </r>
  <r>
    <s v="U407"/>
    <n v="37"/>
    <x v="3"/>
    <x v="1"/>
    <n v="4.4000000000000004"/>
    <x v="2"/>
    <n v="7"/>
    <n v="6"/>
    <n v="5"/>
    <n v="4"/>
    <s v="Intermediate (3–4 days)"/>
    <x v="3"/>
    <n v="10"/>
  </r>
  <r>
    <s v="U418"/>
    <n v="34"/>
    <x v="2"/>
    <x v="1"/>
    <n v="5.4"/>
    <x v="2"/>
    <n v="4"/>
    <n v="5"/>
    <n v="4"/>
    <n v="4"/>
    <s v="Intermediate (3–4 days)"/>
    <x v="5"/>
    <n v="10"/>
  </r>
  <r>
    <s v="U419"/>
    <n v="31"/>
    <x v="2"/>
    <x v="0"/>
    <n v="4.5"/>
    <x v="2"/>
    <n v="8"/>
    <n v="5"/>
    <n v="0"/>
    <n v="4"/>
    <s v="Intermediate (3–4 days)"/>
    <x v="1"/>
    <n v="10"/>
  </r>
  <r>
    <s v="U425"/>
    <n v="31"/>
    <x v="2"/>
    <x v="1"/>
    <n v="5"/>
    <x v="2"/>
    <n v="7"/>
    <n v="6"/>
    <n v="3"/>
    <n v="4"/>
    <s v="Intermediate (3–4 days)"/>
    <x v="0"/>
    <n v="10"/>
  </r>
  <r>
    <s v="U478"/>
    <n v="35"/>
    <x v="3"/>
    <x v="0"/>
    <n v="3.3"/>
    <x v="2"/>
    <n v="9"/>
    <n v="6"/>
    <n v="4"/>
    <n v="4"/>
    <s v="Intermediate (3–4 days)"/>
    <x v="3"/>
    <n v="10"/>
  </r>
  <r>
    <s v="U051"/>
    <n v="25"/>
    <x v="2"/>
    <x v="1"/>
    <n v="2"/>
    <x v="3"/>
    <n v="9"/>
    <n v="4"/>
    <n v="5"/>
    <n v="3"/>
    <s v="Intermediate (3–4 days)"/>
    <x v="5"/>
    <n v="10"/>
  </r>
  <r>
    <s v="U053"/>
    <n v="46"/>
    <x v="1"/>
    <x v="1"/>
    <n v="3.6"/>
    <x v="2"/>
    <n v="7"/>
    <n v="5"/>
    <n v="3"/>
    <n v="3"/>
    <s v="Intermediate (3–4 days)"/>
    <x v="3"/>
    <n v="10"/>
  </r>
  <r>
    <s v="U056"/>
    <n v="29"/>
    <x v="2"/>
    <x v="1"/>
    <n v="4"/>
    <x v="2"/>
    <n v="7"/>
    <n v="3"/>
    <n v="3"/>
    <n v="3"/>
    <s v="Intermediate (3–4 days)"/>
    <x v="0"/>
    <n v="10"/>
  </r>
  <r>
    <s v="U061"/>
    <n v="39"/>
    <x v="3"/>
    <x v="0"/>
    <n v="2.7"/>
    <x v="3"/>
    <n v="9"/>
    <n v="5"/>
    <n v="1"/>
    <n v="3"/>
    <s v="Intermediate (3–4 days)"/>
    <x v="0"/>
    <n v="10"/>
  </r>
  <r>
    <s v="U063"/>
    <n v="40"/>
    <x v="3"/>
    <x v="1"/>
    <n v="4.5999999999999996"/>
    <x v="2"/>
    <n v="7"/>
    <n v="7"/>
    <n v="1"/>
    <n v="3"/>
    <s v="Intermediate (3–4 days)"/>
    <x v="5"/>
    <n v="10"/>
  </r>
  <r>
    <s v="U070"/>
    <n v="39"/>
    <x v="3"/>
    <x v="0"/>
    <n v="3.4"/>
    <x v="2"/>
    <n v="8"/>
    <n v="6"/>
    <n v="7"/>
    <n v="3"/>
    <s v="Intermediate (3–4 days)"/>
    <x v="4"/>
    <n v="10"/>
  </r>
  <r>
    <s v="U096"/>
    <n v="29"/>
    <x v="2"/>
    <x v="0"/>
    <n v="3.9"/>
    <x v="2"/>
    <n v="7"/>
    <n v="6"/>
    <n v="2"/>
    <n v="3"/>
    <s v="Intermediate (3–4 days)"/>
    <x v="0"/>
    <n v="10"/>
  </r>
  <r>
    <s v="U100"/>
    <n v="30"/>
    <x v="2"/>
    <x v="1"/>
    <n v="3.5"/>
    <x v="2"/>
    <n v="8"/>
    <n v="4"/>
    <n v="3"/>
    <n v="3"/>
    <s v="Intermediate (3–4 days)"/>
    <x v="2"/>
    <n v="10"/>
  </r>
  <r>
    <s v="U101"/>
    <n v="41"/>
    <x v="3"/>
    <x v="0"/>
    <n v="2.5"/>
    <x v="3"/>
    <n v="9"/>
    <n v="4"/>
    <n v="6"/>
    <n v="3"/>
    <s v="Intermediate (3–4 days)"/>
    <x v="1"/>
    <n v="10"/>
  </r>
  <r>
    <s v="U115"/>
    <n v="17"/>
    <x v="0"/>
    <x v="1"/>
    <n v="4.8"/>
    <x v="2"/>
    <n v="7"/>
    <n v="6"/>
    <n v="3"/>
    <n v="3"/>
    <s v="Intermediate (3–4 days)"/>
    <x v="0"/>
    <n v="10"/>
  </r>
  <r>
    <s v="U124"/>
    <n v="48"/>
    <x v="1"/>
    <x v="0"/>
    <n v="2.8"/>
    <x v="3"/>
    <n v="7"/>
    <n v="5"/>
    <n v="5"/>
    <n v="3"/>
    <s v="Intermediate (3–4 days)"/>
    <x v="3"/>
    <n v="10"/>
  </r>
  <r>
    <s v="U148"/>
    <n v="48"/>
    <x v="1"/>
    <x v="0"/>
    <n v="4.5999999999999996"/>
    <x v="2"/>
    <n v="7"/>
    <n v="5"/>
    <n v="2"/>
    <n v="3"/>
    <s v="Intermediate (3–4 days)"/>
    <x v="0"/>
    <n v="10"/>
  </r>
  <r>
    <s v="U150"/>
    <n v="34"/>
    <x v="2"/>
    <x v="1"/>
    <n v="1.8"/>
    <x v="3"/>
    <n v="9"/>
    <n v="7"/>
    <n v="3"/>
    <n v="3"/>
    <s v="Intermediate (3–4 days)"/>
    <x v="4"/>
    <n v="10"/>
  </r>
  <r>
    <s v="U192"/>
    <n v="17"/>
    <x v="0"/>
    <x v="1"/>
    <n v="4.9000000000000004"/>
    <x v="2"/>
    <n v="7"/>
    <n v="6"/>
    <n v="3"/>
    <n v="3"/>
    <s v="Intermediate (3–4 days)"/>
    <x v="5"/>
    <n v="10"/>
  </r>
  <r>
    <s v="U197"/>
    <n v="24"/>
    <x v="0"/>
    <x v="0"/>
    <n v="4.4000000000000004"/>
    <x v="2"/>
    <n v="8"/>
    <n v="7"/>
    <n v="6"/>
    <n v="3"/>
    <s v="Intermediate (3–4 days)"/>
    <x v="1"/>
    <n v="10"/>
  </r>
  <r>
    <s v="U199"/>
    <n v="31"/>
    <x v="2"/>
    <x v="1"/>
    <n v="5"/>
    <x v="2"/>
    <n v="7"/>
    <n v="5"/>
    <n v="2"/>
    <n v="3"/>
    <s v="Intermediate (3–4 days)"/>
    <x v="5"/>
    <n v="10"/>
  </r>
  <r>
    <s v="U216"/>
    <n v="19"/>
    <x v="0"/>
    <x v="1"/>
    <n v="8.6999999999999993"/>
    <x v="0"/>
    <n v="6"/>
    <n v="7"/>
    <n v="5"/>
    <n v="3"/>
    <s v="Intermediate (3–4 days)"/>
    <x v="3"/>
    <n v="10"/>
  </r>
  <r>
    <s v="U230"/>
    <n v="23"/>
    <x v="0"/>
    <x v="0"/>
    <n v="4.0999999999999996"/>
    <x v="2"/>
    <n v="8"/>
    <n v="5"/>
    <n v="6"/>
    <n v="3"/>
    <s v="Intermediate (3–4 days)"/>
    <x v="4"/>
    <n v="10"/>
  </r>
  <r>
    <s v="U235"/>
    <n v="45"/>
    <x v="1"/>
    <x v="1"/>
    <n v="4.5"/>
    <x v="2"/>
    <n v="8"/>
    <n v="6"/>
    <n v="1"/>
    <n v="3"/>
    <s v="Intermediate (3–4 days)"/>
    <x v="2"/>
    <n v="10"/>
  </r>
  <r>
    <s v="U329"/>
    <n v="37"/>
    <x v="3"/>
    <x v="1"/>
    <n v="3.8"/>
    <x v="2"/>
    <n v="7"/>
    <n v="4"/>
    <n v="2"/>
    <n v="3"/>
    <s v="Intermediate (3–4 days)"/>
    <x v="0"/>
    <n v="10"/>
  </r>
  <r>
    <s v="U334"/>
    <n v="45"/>
    <x v="1"/>
    <x v="0"/>
    <n v="5.2"/>
    <x v="2"/>
    <n v="7"/>
    <n v="4"/>
    <n v="3"/>
    <n v="3"/>
    <s v="Intermediate (3–4 days)"/>
    <x v="5"/>
    <n v="10"/>
  </r>
  <r>
    <s v="U367"/>
    <n v="18"/>
    <x v="0"/>
    <x v="0"/>
    <n v="3.2"/>
    <x v="2"/>
    <n v="9"/>
    <n v="5"/>
    <n v="1"/>
    <n v="3"/>
    <s v="Intermediate (3–4 days)"/>
    <x v="1"/>
    <n v="10"/>
  </r>
  <r>
    <s v="U379"/>
    <n v="23"/>
    <x v="0"/>
    <x v="0"/>
    <n v="1.5"/>
    <x v="3"/>
    <n v="9"/>
    <n v="3"/>
    <n v="2"/>
    <n v="3"/>
    <s v="Intermediate (3–4 days)"/>
    <x v="0"/>
    <n v="10"/>
  </r>
  <r>
    <s v="U400"/>
    <n v="28"/>
    <x v="2"/>
    <x v="0"/>
    <n v="3.7"/>
    <x v="2"/>
    <n v="8"/>
    <n v="5"/>
    <n v="4"/>
    <n v="3"/>
    <s v="Intermediate (3–4 days)"/>
    <x v="3"/>
    <n v="10"/>
  </r>
  <r>
    <s v="U408"/>
    <n v="28"/>
    <x v="2"/>
    <x v="0"/>
    <n v="2.6"/>
    <x v="3"/>
    <n v="10"/>
    <n v="3"/>
    <n v="4"/>
    <n v="3"/>
    <s v="Intermediate (3–4 days)"/>
    <x v="1"/>
    <n v="10"/>
  </r>
  <r>
    <s v="U412"/>
    <n v="27"/>
    <x v="2"/>
    <x v="0"/>
    <n v="6.5"/>
    <x v="1"/>
    <n v="7"/>
    <n v="7"/>
    <n v="2"/>
    <n v="3"/>
    <s v="Intermediate (3–4 days)"/>
    <x v="2"/>
    <n v="10"/>
  </r>
  <r>
    <s v="U454"/>
    <n v="34"/>
    <x v="2"/>
    <x v="1"/>
    <n v="5.5"/>
    <x v="2"/>
    <n v="6"/>
    <n v="5"/>
    <n v="4"/>
    <n v="3"/>
    <s v="Intermediate (3–4 days)"/>
    <x v="2"/>
    <n v="10"/>
  </r>
  <r>
    <s v="U457"/>
    <n v="41"/>
    <x v="3"/>
    <x v="1"/>
    <n v="2.9"/>
    <x v="3"/>
    <n v="8"/>
    <n v="3"/>
    <n v="0"/>
    <n v="3"/>
    <s v="Intermediate (3–4 days)"/>
    <x v="4"/>
    <n v="10"/>
  </r>
  <r>
    <s v="U465"/>
    <n v="16"/>
    <x v="0"/>
    <x v="1"/>
    <n v="3.5"/>
    <x v="2"/>
    <n v="8"/>
    <n v="5"/>
    <n v="4"/>
    <n v="3"/>
    <s v="Intermediate (3–4 days)"/>
    <x v="0"/>
    <n v="10"/>
  </r>
  <r>
    <s v="U466"/>
    <n v="18"/>
    <x v="0"/>
    <x v="0"/>
    <n v="4.2"/>
    <x v="2"/>
    <n v="7"/>
    <n v="7"/>
    <n v="2"/>
    <n v="3"/>
    <s v="Intermediate (3–4 days)"/>
    <x v="0"/>
    <n v="10"/>
  </r>
  <r>
    <s v="U484"/>
    <n v="18"/>
    <x v="0"/>
    <x v="0"/>
    <n v="4.3"/>
    <x v="2"/>
    <n v="7"/>
    <n v="7"/>
    <n v="3"/>
    <n v="3"/>
    <s v="Intermediate (3–4 days)"/>
    <x v="0"/>
    <n v="10"/>
  </r>
  <r>
    <s v="U487"/>
    <n v="26"/>
    <x v="2"/>
    <x v="0"/>
    <n v="3.9"/>
    <x v="2"/>
    <n v="8"/>
    <n v="5"/>
    <n v="2"/>
    <n v="3"/>
    <s v="Intermediate (3–4 days)"/>
    <x v="1"/>
    <n v="10"/>
  </r>
  <r>
    <s v="U029"/>
    <n v="24"/>
    <x v="0"/>
    <x v="0"/>
    <n v="4.3"/>
    <x v="2"/>
    <n v="6"/>
    <n v="6"/>
    <n v="5"/>
    <n v="2"/>
    <s v="Beginners (0–2 days)"/>
    <x v="5"/>
    <n v="10"/>
  </r>
  <r>
    <s v="U033"/>
    <n v="29"/>
    <x v="2"/>
    <x v="1"/>
    <n v="3.1"/>
    <x v="2"/>
    <n v="8"/>
    <n v="4"/>
    <n v="2"/>
    <n v="2"/>
    <s v="Beginners (0–2 days)"/>
    <x v="4"/>
    <n v="10"/>
  </r>
  <r>
    <s v="U052"/>
    <n v="29"/>
    <x v="2"/>
    <x v="1"/>
    <n v="3.3"/>
    <x v="2"/>
    <n v="7"/>
    <n v="5"/>
    <n v="1"/>
    <n v="2"/>
    <s v="Beginners (0–2 days)"/>
    <x v="3"/>
    <n v="10"/>
  </r>
  <r>
    <s v="U087"/>
    <n v="39"/>
    <x v="3"/>
    <x v="0"/>
    <n v="2.4"/>
    <x v="3"/>
    <n v="7"/>
    <n v="4"/>
    <n v="4"/>
    <n v="2"/>
    <s v="Beginners (0–2 days)"/>
    <x v="2"/>
    <n v="10"/>
  </r>
  <r>
    <s v="U116"/>
    <n v="21"/>
    <x v="0"/>
    <x v="1"/>
    <n v="4"/>
    <x v="2"/>
    <n v="9"/>
    <n v="5"/>
    <n v="3"/>
    <n v="2"/>
    <s v="Beginners (0–2 days)"/>
    <x v="5"/>
    <n v="10"/>
  </r>
  <r>
    <s v="U122"/>
    <n v="43"/>
    <x v="3"/>
    <x v="1"/>
    <n v="5.5"/>
    <x v="2"/>
    <n v="8"/>
    <n v="6"/>
    <n v="5"/>
    <n v="2"/>
    <s v="Beginners (0–2 days)"/>
    <x v="0"/>
    <n v="10"/>
  </r>
  <r>
    <s v="U141"/>
    <n v="18"/>
    <x v="0"/>
    <x v="0"/>
    <n v="4.8"/>
    <x v="2"/>
    <n v="6"/>
    <n v="5"/>
    <n v="1"/>
    <n v="2"/>
    <s v="Beginners (0–2 days)"/>
    <x v="2"/>
    <n v="10"/>
  </r>
  <r>
    <s v="U149"/>
    <n v="16"/>
    <x v="0"/>
    <x v="1"/>
    <n v="5.3"/>
    <x v="2"/>
    <n v="7"/>
    <n v="6"/>
    <n v="3"/>
    <n v="2"/>
    <s v="Beginners (0–2 days)"/>
    <x v="2"/>
    <n v="10"/>
  </r>
  <r>
    <s v="U169"/>
    <n v="31"/>
    <x v="2"/>
    <x v="0"/>
    <n v="4.2"/>
    <x v="2"/>
    <n v="8"/>
    <n v="6"/>
    <n v="3"/>
    <n v="2"/>
    <s v="Beginners (0–2 days)"/>
    <x v="1"/>
    <n v="10"/>
  </r>
  <r>
    <s v="U170"/>
    <n v="44"/>
    <x v="3"/>
    <x v="0"/>
    <n v="4.3"/>
    <x v="2"/>
    <n v="8"/>
    <n v="6"/>
    <n v="6"/>
    <n v="2"/>
    <s v="Beginners (0–2 days)"/>
    <x v="1"/>
    <n v="10"/>
  </r>
  <r>
    <s v="U183"/>
    <n v="26"/>
    <x v="2"/>
    <x v="1"/>
    <n v="3.8"/>
    <x v="2"/>
    <n v="10"/>
    <n v="6"/>
    <n v="5"/>
    <n v="2"/>
    <s v="Beginners (0–2 days)"/>
    <x v="4"/>
    <n v="10"/>
  </r>
  <r>
    <s v="U206"/>
    <n v="23"/>
    <x v="0"/>
    <x v="0"/>
    <n v="3.5"/>
    <x v="2"/>
    <n v="9"/>
    <n v="5"/>
    <n v="4"/>
    <n v="2"/>
    <s v="Beginners (0–2 days)"/>
    <x v="2"/>
    <n v="10"/>
  </r>
  <r>
    <s v="U245"/>
    <n v="44"/>
    <x v="3"/>
    <x v="0"/>
    <n v="3.6"/>
    <x v="2"/>
    <n v="8"/>
    <n v="5"/>
    <n v="0"/>
    <n v="2"/>
    <s v="Beginners (0–2 days)"/>
    <x v="5"/>
    <n v="10"/>
  </r>
  <r>
    <s v="U267"/>
    <n v="41"/>
    <x v="3"/>
    <x v="1"/>
    <n v="2.6"/>
    <x v="3"/>
    <n v="8"/>
    <n v="4"/>
    <n v="2"/>
    <n v="2"/>
    <s v="Beginners (0–2 days)"/>
    <x v="5"/>
    <n v="10"/>
  </r>
  <r>
    <s v="U270"/>
    <n v="24"/>
    <x v="0"/>
    <x v="1"/>
    <n v="5.8"/>
    <x v="2"/>
    <n v="8"/>
    <n v="6"/>
    <n v="1"/>
    <n v="2"/>
    <s v="Beginners (0–2 days)"/>
    <x v="3"/>
    <n v="10"/>
  </r>
  <r>
    <s v="U276"/>
    <n v="22"/>
    <x v="0"/>
    <x v="0"/>
    <n v="4.3"/>
    <x v="2"/>
    <n v="7"/>
    <n v="5"/>
    <n v="4"/>
    <n v="2"/>
    <s v="Beginners (0–2 days)"/>
    <x v="5"/>
    <n v="10"/>
  </r>
  <r>
    <s v="U285"/>
    <n v="43"/>
    <x v="3"/>
    <x v="1"/>
    <n v="3.4"/>
    <x v="2"/>
    <n v="7"/>
    <n v="7"/>
    <n v="4"/>
    <n v="2"/>
    <s v="Beginners (0–2 days)"/>
    <x v="5"/>
    <n v="10"/>
  </r>
  <r>
    <s v="U294"/>
    <n v="21"/>
    <x v="0"/>
    <x v="0"/>
    <n v="5"/>
    <x v="2"/>
    <n v="7"/>
    <n v="6"/>
    <n v="5"/>
    <n v="2"/>
    <s v="Beginners (0–2 days)"/>
    <x v="5"/>
    <n v="10"/>
  </r>
  <r>
    <s v="U300"/>
    <n v="21"/>
    <x v="0"/>
    <x v="1"/>
    <n v="3"/>
    <x v="2"/>
    <n v="8"/>
    <n v="5"/>
    <n v="3"/>
    <n v="2"/>
    <s v="Beginners (0–2 days)"/>
    <x v="4"/>
    <n v="10"/>
  </r>
  <r>
    <s v="U306"/>
    <n v="34"/>
    <x v="2"/>
    <x v="1"/>
    <n v="5.3"/>
    <x v="2"/>
    <n v="6"/>
    <n v="6"/>
    <n v="6"/>
    <n v="2"/>
    <s v="Beginners (0–2 days)"/>
    <x v="3"/>
    <n v="10"/>
  </r>
  <r>
    <s v="U320"/>
    <n v="16"/>
    <x v="0"/>
    <x v="1"/>
    <n v="5.5"/>
    <x v="2"/>
    <n v="9"/>
    <n v="5"/>
    <n v="6"/>
    <n v="2"/>
    <s v="Beginners (0–2 days)"/>
    <x v="2"/>
    <n v="10"/>
  </r>
  <r>
    <s v="U325"/>
    <n v="18"/>
    <x v="0"/>
    <x v="0"/>
    <n v="1.7"/>
    <x v="3"/>
    <n v="9"/>
    <n v="3"/>
    <n v="1"/>
    <n v="2"/>
    <s v="Beginners (0–2 days)"/>
    <x v="5"/>
    <n v="10"/>
  </r>
  <r>
    <s v="U330"/>
    <n v="44"/>
    <x v="3"/>
    <x v="0"/>
    <n v="6.7"/>
    <x v="1"/>
    <n v="8"/>
    <n v="6"/>
    <n v="4"/>
    <n v="2"/>
    <s v="Beginners (0–2 days)"/>
    <x v="2"/>
    <n v="10"/>
  </r>
  <r>
    <s v="U332"/>
    <n v="43"/>
    <x v="3"/>
    <x v="1"/>
    <n v="4.3"/>
    <x v="2"/>
    <n v="6"/>
    <n v="3"/>
    <n v="3"/>
    <n v="2"/>
    <s v="Beginners (0–2 days)"/>
    <x v="0"/>
    <n v="10"/>
  </r>
  <r>
    <s v="U345"/>
    <n v="20"/>
    <x v="0"/>
    <x v="1"/>
    <n v="3.6"/>
    <x v="2"/>
    <n v="6"/>
    <n v="5"/>
    <n v="2"/>
    <n v="2"/>
    <s v="Beginners (0–2 days)"/>
    <x v="5"/>
    <n v="10"/>
  </r>
  <r>
    <s v="U369"/>
    <n v="48"/>
    <x v="1"/>
    <x v="1"/>
    <n v="3.9"/>
    <x v="2"/>
    <n v="6"/>
    <n v="5"/>
    <n v="0"/>
    <n v="2"/>
    <s v="Beginners (0–2 days)"/>
    <x v="4"/>
    <n v="10"/>
  </r>
  <r>
    <s v="U380"/>
    <n v="44"/>
    <x v="3"/>
    <x v="1"/>
    <n v="4.3"/>
    <x v="2"/>
    <n v="8"/>
    <n v="7"/>
    <n v="4"/>
    <n v="2"/>
    <s v="Beginners (0–2 days)"/>
    <x v="0"/>
    <n v="10"/>
  </r>
  <r>
    <s v="U442"/>
    <n v="20"/>
    <x v="0"/>
    <x v="0"/>
    <n v="3.3"/>
    <x v="2"/>
    <n v="8"/>
    <n v="4"/>
    <n v="7"/>
    <n v="2"/>
    <s v="Beginners (0–2 days)"/>
    <x v="0"/>
    <n v="10"/>
  </r>
  <r>
    <s v="U444"/>
    <n v="34"/>
    <x v="2"/>
    <x v="0"/>
    <n v="4.2"/>
    <x v="2"/>
    <n v="8"/>
    <n v="4"/>
    <n v="4"/>
    <n v="2"/>
    <s v="Beginners (0–2 days)"/>
    <x v="0"/>
    <n v="10"/>
  </r>
  <r>
    <s v="U458"/>
    <n v="34"/>
    <x v="2"/>
    <x v="0"/>
    <n v="2.1"/>
    <x v="3"/>
    <n v="9"/>
    <n v="4"/>
    <n v="5"/>
    <n v="2"/>
    <s v="Beginners (0–2 days)"/>
    <x v="2"/>
    <n v="10"/>
  </r>
  <r>
    <s v="U469"/>
    <n v="40"/>
    <x v="3"/>
    <x v="0"/>
    <n v="4.0999999999999996"/>
    <x v="2"/>
    <n v="6"/>
    <n v="7"/>
    <n v="1"/>
    <n v="2"/>
    <s v="Beginners (0–2 days)"/>
    <x v="2"/>
    <n v="10"/>
  </r>
  <r>
    <s v="U496"/>
    <n v="23"/>
    <x v="0"/>
    <x v="0"/>
    <n v="6.9"/>
    <x v="1"/>
    <n v="5"/>
    <n v="7"/>
    <n v="4"/>
    <n v="2"/>
    <s v="Beginners (0–2 days)"/>
    <x v="5"/>
    <n v="10"/>
  </r>
  <r>
    <s v="U038"/>
    <n v="43"/>
    <x v="3"/>
    <x v="1"/>
    <n v="4.3"/>
    <x v="2"/>
    <n v="8"/>
    <n v="4"/>
    <n v="1"/>
    <n v="1"/>
    <s v="Beginners (0–2 days)"/>
    <x v="0"/>
    <n v="10"/>
  </r>
  <r>
    <s v="U041"/>
    <n v="29"/>
    <x v="2"/>
    <x v="0"/>
    <n v="7.2"/>
    <x v="1"/>
    <n v="5"/>
    <n v="7"/>
    <n v="4"/>
    <n v="1"/>
    <s v="Beginners (0–2 days)"/>
    <x v="5"/>
    <n v="10"/>
  </r>
  <r>
    <s v="U066"/>
    <n v="16"/>
    <x v="0"/>
    <x v="0"/>
    <n v="4.4000000000000004"/>
    <x v="2"/>
    <n v="8"/>
    <n v="4"/>
    <n v="5"/>
    <n v="1"/>
    <s v="Beginners (0–2 days)"/>
    <x v="3"/>
    <n v="10"/>
  </r>
  <r>
    <s v="U067"/>
    <n v="40"/>
    <x v="3"/>
    <x v="0"/>
    <n v="4.5999999999999996"/>
    <x v="2"/>
    <n v="7"/>
    <n v="6"/>
    <n v="2"/>
    <n v="1"/>
    <s v="Beginners (0–2 days)"/>
    <x v="3"/>
    <n v="10"/>
  </r>
  <r>
    <s v="U068"/>
    <n v="22"/>
    <x v="0"/>
    <x v="0"/>
    <n v="5.2"/>
    <x v="2"/>
    <n v="9"/>
    <n v="7"/>
    <n v="5"/>
    <n v="1"/>
    <s v="Beginners (0–2 days)"/>
    <x v="0"/>
    <n v="10"/>
  </r>
  <r>
    <s v="U076"/>
    <n v="23"/>
    <x v="0"/>
    <x v="0"/>
    <n v="4.2"/>
    <x v="2"/>
    <n v="7"/>
    <n v="5"/>
    <n v="0"/>
    <n v="1"/>
    <s v="Beginners (0–2 days)"/>
    <x v="5"/>
    <n v="10"/>
  </r>
  <r>
    <s v="U088"/>
    <n v="37"/>
    <x v="3"/>
    <x v="1"/>
    <n v="3.2"/>
    <x v="2"/>
    <n v="8"/>
    <n v="7"/>
    <n v="3"/>
    <n v="1"/>
    <s v="Beginners (0–2 days)"/>
    <x v="5"/>
    <n v="10"/>
  </r>
  <r>
    <s v="U108"/>
    <n v="30"/>
    <x v="2"/>
    <x v="0"/>
    <n v="6.8"/>
    <x v="1"/>
    <n v="7"/>
    <n v="7"/>
    <n v="2"/>
    <n v="1"/>
    <s v="Beginners (0–2 days)"/>
    <x v="5"/>
    <n v="10"/>
  </r>
  <r>
    <s v="U136"/>
    <n v="47"/>
    <x v="1"/>
    <x v="1"/>
    <n v="2.9"/>
    <x v="3"/>
    <n v="8"/>
    <n v="5"/>
    <n v="0"/>
    <n v="1"/>
    <s v="Beginners (0–2 days)"/>
    <x v="1"/>
    <n v="10"/>
  </r>
  <r>
    <s v="U139"/>
    <n v="27"/>
    <x v="2"/>
    <x v="0"/>
    <n v="5.2"/>
    <x v="2"/>
    <n v="7"/>
    <n v="5"/>
    <n v="2"/>
    <n v="1"/>
    <s v="Beginners (0–2 days)"/>
    <x v="4"/>
    <n v="10"/>
  </r>
  <r>
    <s v="U140"/>
    <n v="17"/>
    <x v="0"/>
    <x v="1"/>
    <n v="4.8"/>
    <x v="2"/>
    <n v="8"/>
    <n v="5"/>
    <n v="4"/>
    <n v="1"/>
    <s v="Beginners (0–2 days)"/>
    <x v="5"/>
    <n v="10"/>
  </r>
  <r>
    <s v="U142"/>
    <n v="32"/>
    <x v="2"/>
    <x v="0"/>
    <n v="5.8"/>
    <x v="2"/>
    <n v="6"/>
    <n v="6"/>
    <n v="3"/>
    <n v="1"/>
    <s v="Beginners (0–2 days)"/>
    <x v="2"/>
    <n v="10"/>
  </r>
  <r>
    <s v="U143"/>
    <n v="17"/>
    <x v="0"/>
    <x v="0"/>
    <n v="2.2000000000000002"/>
    <x v="3"/>
    <n v="10"/>
    <n v="5"/>
    <n v="4"/>
    <n v="1"/>
    <s v="Beginners (0–2 days)"/>
    <x v="4"/>
    <n v="10"/>
  </r>
  <r>
    <s v="U146"/>
    <n v="38"/>
    <x v="3"/>
    <x v="0"/>
    <n v="5.7"/>
    <x v="2"/>
    <n v="7"/>
    <n v="5"/>
    <n v="2"/>
    <n v="1"/>
    <s v="Beginners (0–2 days)"/>
    <x v="4"/>
    <n v="10"/>
  </r>
  <r>
    <s v="U195"/>
    <n v="20"/>
    <x v="0"/>
    <x v="0"/>
    <n v="2.6"/>
    <x v="3"/>
    <n v="9"/>
    <n v="4"/>
    <n v="4"/>
    <n v="1"/>
    <s v="Beginners (0–2 days)"/>
    <x v="0"/>
    <n v="10"/>
  </r>
  <r>
    <s v="U224"/>
    <n v="32"/>
    <x v="2"/>
    <x v="1"/>
    <n v="3.6"/>
    <x v="2"/>
    <n v="7"/>
    <n v="5"/>
    <n v="3"/>
    <n v="1"/>
    <s v="Beginners (0–2 days)"/>
    <x v="2"/>
    <n v="10"/>
  </r>
  <r>
    <s v="U228"/>
    <n v="37"/>
    <x v="3"/>
    <x v="1"/>
    <n v="4.7"/>
    <x v="2"/>
    <n v="9"/>
    <n v="6"/>
    <n v="3"/>
    <n v="1"/>
    <s v="Beginners (0–2 days)"/>
    <x v="3"/>
    <n v="10"/>
  </r>
  <r>
    <s v="U261"/>
    <n v="47"/>
    <x v="1"/>
    <x v="1"/>
    <n v="2.1"/>
    <x v="3"/>
    <n v="8"/>
    <n v="4"/>
    <n v="5"/>
    <n v="1"/>
    <s v="Beginners (0–2 days)"/>
    <x v="5"/>
    <n v="10"/>
  </r>
  <r>
    <s v="U358"/>
    <n v="43"/>
    <x v="3"/>
    <x v="0"/>
    <n v="3.8"/>
    <x v="2"/>
    <n v="8"/>
    <n v="5"/>
    <n v="4"/>
    <n v="1"/>
    <s v="Beginners (0–2 days)"/>
    <x v="4"/>
    <n v="10"/>
  </r>
  <r>
    <s v="U366"/>
    <n v="27"/>
    <x v="2"/>
    <x v="1"/>
    <n v="3.6"/>
    <x v="2"/>
    <n v="8"/>
    <n v="5"/>
    <n v="2"/>
    <n v="1"/>
    <s v="Beginners (0–2 days)"/>
    <x v="0"/>
    <n v="10"/>
  </r>
  <r>
    <s v="U371"/>
    <n v="44"/>
    <x v="3"/>
    <x v="0"/>
    <n v="2.7"/>
    <x v="3"/>
    <n v="9"/>
    <n v="5"/>
    <n v="5"/>
    <n v="1"/>
    <s v="Beginners (0–2 days)"/>
    <x v="0"/>
    <n v="10"/>
  </r>
  <r>
    <s v="U376"/>
    <n v="38"/>
    <x v="3"/>
    <x v="1"/>
    <n v="4.2"/>
    <x v="2"/>
    <n v="8"/>
    <n v="5"/>
    <n v="6"/>
    <n v="1"/>
    <s v="Beginners (0–2 days)"/>
    <x v="5"/>
    <n v="10"/>
  </r>
  <r>
    <s v="U403"/>
    <n v="45"/>
    <x v="1"/>
    <x v="0"/>
    <n v="2.1"/>
    <x v="3"/>
    <n v="10"/>
    <n v="5"/>
    <n v="6"/>
    <n v="1"/>
    <s v="Beginners (0–2 days)"/>
    <x v="2"/>
    <n v="10"/>
  </r>
  <r>
    <s v="U430"/>
    <n v="44"/>
    <x v="3"/>
    <x v="0"/>
    <n v="5"/>
    <x v="2"/>
    <n v="6"/>
    <n v="5"/>
    <n v="3"/>
    <n v="1"/>
    <s v="Beginners (0–2 days)"/>
    <x v="5"/>
    <n v="10"/>
  </r>
  <r>
    <s v="U431"/>
    <n v="26"/>
    <x v="2"/>
    <x v="1"/>
    <n v="5"/>
    <x v="2"/>
    <n v="6"/>
    <n v="6"/>
    <n v="3"/>
    <n v="1"/>
    <s v="Beginners (0–2 days)"/>
    <x v="0"/>
    <n v="10"/>
  </r>
  <r>
    <s v="U472"/>
    <n v="47"/>
    <x v="1"/>
    <x v="1"/>
    <n v="6.8"/>
    <x v="1"/>
    <n v="5"/>
    <n v="4"/>
    <n v="3"/>
    <n v="1"/>
    <s v="Beginners (0–2 days)"/>
    <x v="1"/>
    <n v="10"/>
  </r>
  <r>
    <s v="U492"/>
    <n v="23"/>
    <x v="0"/>
    <x v="0"/>
    <n v="3.3"/>
    <x v="2"/>
    <n v="10"/>
    <n v="4"/>
    <n v="2"/>
    <n v="1"/>
    <s v="Beginners (0–2 days)"/>
    <x v="3"/>
    <n v="10"/>
  </r>
  <r>
    <s v="U028"/>
    <n v="36"/>
    <x v="3"/>
    <x v="1"/>
    <n v="2"/>
    <x v="3"/>
    <n v="8"/>
    <n v="4"/>
    <n v="5"/>
    <n v="0"/>
    <s v="Beginners (0–2 days)"/>
    <x v="2"/>
    <n v="10"/>
  </r>
  <r>
    <s v="U043"/>
    <n v="19"/>
    <x v="0"/>
    <x v="0"/>
    <n v="2.5"/>
    <x v="3"/>
    <n v="9"/>
    <n v="3"/>
    <n v="0"/>
    <n v="0"/>
    <s v="Beginners (0–2 days)"/>
    <x v="4"/>
    <n v="10"/>
  </r>
  <r>
    <s v="U090"/>
    <n v="16"/>
    <x v="0"/>
    <x v="0"/>
    <n v="3.8"/>
    <x v="2"/>
    <n v="10"/>
    <n v="6"/>
    <n v="5"/>
    <n v="0"/>
    <s v="Beginners (0–2 days)"/>
    <x v="5"/>
    <n v="10"/>
  </r>
  <r>
    <s v="U163"/>
    <n v="37"/>
    <x v="3"/>
    <x v="1"/>
    <n v="5.3"/>
    <x v="2"/>
    <n v="7"/>
    <n v="6"/>
    <n v="4"/>
    <n v="0"/>
    <s v="Beginners (0–2 days)"/>
    <x v="1"/>
    <n v="10"/>
  </r>
  <r>
    <s v="U176"/>
    <n v="34"/>
    <x v="2"/>
    <x v="0"/>
    <n v="5.4"/>
    <x v="2"/>
    <n v="6"/>
    <n v="6"/>
    <n v="4"/>
    <n v="0"/>
    <s v="Beginners (0–2 days)"/>
    <x v="1"/>
    <n v="10"/>
  </r>
  <r>
    <s v="U201"/>
    <n v="35"/>
    <x v="3"/>
    <x v="1"/>
    <n v="5.2"/>
    <x v="2"/>
    <n v="7"/>
    <n v="6"/>
    <n v="4"/>
    <n v="0"/>
    <s v="Beginners (0–2 days)"/>
    <x v="2"/>
    <n v="10"/>
  </r>
  <r>
    <s v="U217"/>
    <n v="48"/>
    <x v="1"/>
    <x v="0"/>
    <n v="3.9"/>
    <x v="2"/>
    <n v="9"/>
    <n v="5"/>
    <n v="1"/>
    <n v="0"/>
    <s v="Beginners (0–2 days)"/>
    <x v="5"/>
    <n v="10"/>
  </r>
  <r>
    <s v="U253"/>
    <n v="38"/>
    <x v="3"/>
    <x v="1"/>
    <n v="3.5"/>
    <x v="2"/>
    <n v="9"/>
    <n v="4"/>
    <n v="0"/>
    <n v="0"/>
    <s v="Beginners (0–2 days)"/>
    <x v="2"/>
    <n v="10"/>
  </r>
  <r>
    <s v="U262"/>
    <n v="37"/>
    <x v="3"/>
    <x v="1"/>
    <n v="3.9"/>
    <x v="2"/>
    <n v="8"/>
    <n v="6"/>
    <n v="3"/>
    <n v="0"/>
    <s v="Beginners (0–2 days)"/>
    <x v="4"/>
    <n v="10"/>
  </r>
  <r>
    <s v="U355"/>
    <n v="39"/>
    <x v="3"/>
    <x v="1"/>
    <n v="6.5"/>
    <x v="1"/>
    <n v="5"/>
    <n v="5"/>
    <n v="5"/>
    <n v="0"/>
    <s v="Beginners (0–2 days)"/>
    <x v="1"/>
    <n v="10"/>
  </r>
  <r>
    <s v="U364"/>
    <n v="48"/>
    <x v="1"/>
    <x v="1"/>
    <n v="5"/>
    <x v="2"/>
    <n v="8"/>
    <n v="6"/>
    <n v="5"/>
    <n v="0"/>
    <s v="Beginners (0–2 days)"/>
    <x v="4"/>
    <n v="10"/>
  </r>
  <r>
    <s v="U384"/>
    <n v="49"/>
    <x v="1"/>
    <x v="0"/>
    <n v="5.5"/>
    <x v="2"/>
    <n v="7"/>
    <n v="5"/>
    <n v="5"/>
    <n v="0"/>
    <s v="Beginners (0–2 days)"/>
    <x v="1"/>
    <n v="10"/>
  </r>
  <r>
    <s v="U402"/>
    <n v="40"/>
    <x v="3"/>
    <x v="0"/>
    <n v="4.4000000000000004"/>
    <x v="2"/>
    <n v="7"/>
    <n v="5"/>
    <n v="4"/>
    <n v="0"/>
    <s v="Beginners (0–2 days)"/>
    <x v="3"/>
    <n v="10"/>
  </r>
  <r>
    <s v="U477"/>
    <n v="34"/>
    <x v="2"/>
    <x v="0"/>
    <n v="3.4"/>
    <x v="2"/>
    <n v="8"/>
    <n v="5"/>
    <n v="4"/>
    <n v="0"/>
    <s v="Beginners (0–2 days)"/>
    <x v="5"/>
    <n v="10"/>
  </r>
  <r>
    <s v="U494"/>
    <n v="39"/>
    <x v="3"/>
    <x v="1"/>
    <n v="3"/>
    <x v="2"/>
    <n v="7"/>
    <n v="2"/>
    <n v="1"/>
    <n v="0"/>
    <s v="Beginners (0–2 days)"/>
    <x v="2"/>
    <n v="10"/>
  </r>
  <r>
    <s v="U495"/>
    <n v="43"/>
    <x v="3"/>
    <x v="1"/>
    <n v="5.6"/>
    <x v="2"/>
    <n v="8"/>
    <n v="6"/>
    <n v="2"/>
    <n v="0"/>
    <s v="Beginners (0–2 days)"/>
    <x v="1"/>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585F29-4B7F-475F-B8C4-CA9D20DD4024}"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3:G7" firstHeaderRow="0" firstDataRow="1" firstDataCol="1"/>
  <pivotFields count="13">
    <pivotField showAll="0"/>
    <pivotField numFmtId="1" showAll="0"/>
    <pivotField axis="axisRow" showAll="0">
      <items count="5">
        <item x="0"/>
        <item x="2"/>
        <item x="3"/>
        <item x="1"/>
        <item t="default"/>
      </items>
    </pivotField>
    <pivotField showAll="0"/>
    <pivotField dataField="1" numFmtId="164" showAll="0"/>
    <pivotField showAll="0"/>
    <pivotField dataField="1" numFmtId="1" showAll="0"/>
    <pivotField dataField="1" numFmtId="1" showAll="0"/>
    <pivotField dataField="1" numFmtId="1" showAll="0"/>
    <pivotField dataField="1" numFmtId="1" showAll="0"/>
    <pivotField showAll="0"/>
    <pivotField showAll="0"/>
    <pivotField dataField="1" numFmtId="1" showAll="0"/>
  </pivotFields>
  <rowFields count="1">
    <field x="2"/>
  </rowFields>
  <rowItems count="4">
    <i>
      <x/>
    </i>
    <i>
      <x v="1"/>
    </i>
    <i>
      <x v="2"/>
    </i>
    <i>
      <x v="3"/>
    </i>
  </rowItems>
  <colFields count="1">
    <field x="-2"/>
  </colFields>
  <colItems count="6">
    <i>
      <x/>
    </i>
    <i i="1">
      <x v="1"/>
    </i>
    <i i="2">
      <x v="2"/>
    </i>
    <i i="3">
      <x v="3"/>
    </i>
    <i i="4">
      <x v="4"/>
    </i>
    <i i="5">
      <x v="5"/>
    </i>
  </colItems>
  <dataFields count="6">
    <dataField name="Average of Daily_Screen_Time(hrs)" fld="4" subtotal="average" baseField="2" baseItem="0" numFmtId="164"/>
    <dataField name="Average of Sleep_Quality(1-10)" fld="6" subtotal="average" baseField="2" baseItem="0" numFmtId="1"/>
    <dataField name="Average of Stress_Level(1-10)" fld="7" subtotal="average" baseField="2" baseItem="3" numFmtId="1"/>
    <dataField name="Average of Happiness_Index(1-10)" fld="12" subtotal="average" baseField="2" baseItem="3" numFmtId="1"/>
    <dataField name="Average of Days_Without_Social_Media" fld="8" subtotal="average" baseField="2" baseItem="0" numFmtId="1"/>
    <dataField name="Average of Exercise_Frequency(week)" fld="9" subtotal="average" baseField="2" baseItem="0" numFmtId="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A684DE-2E1E-4C69-8CC4-AF4209F748A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9:H85" firstHeaderRow="1" firstDataRow="2" firstDataCol="1"/>
  <pivotFields count="13">
    <pivotField showAll="0"/>
    <pivotField numFmtId="1" showAll="0"/>
    <pivotField axis="axisRow" showAll="0">
      <items count="5">
        <item x="0"/>
        <item x="2"/>
        <item x="3"/>
        <item x="1"/>
        <item t="default"/>
      </items>
    </pivotField>
    <pivotField showAll="0"/>
    <pivotField numFmtId="164" showAll="0"/>
    <pivotField showAll="0"/>
    <pivotField numFmtId="1" showAll="0"/>
    <pivotField numFmtId="1" showAll="0"/>
    <pivotField numFmtId="1" showAll="0"/>
    <pivotField numFmtId="1" showAll="0"/>
    <pivotField showAll="0"/>
    <pivotField axis="axisCol" dataField="1" showAll="0">
      <items count="7">
        <item x="2"/>
        <item x="1"/>
        <item x="4"/>
        <item x="0"/>
        <item x="5"/>
        <item x="3"/>
        <item t="default"/>
      </items>
    </pivotField>
    <pivotField numFmtId="1" showAll="0"/>
  </pivotFields>
  <rowFields count="1">
    <field x="2"/>
  </rowFields>
  <rowItems count="5">
    <i>
      <x/>
    </i>
    <i>
      <x v="1"/>
    </i>
    <i>
      <x v="2"/>
    </i>
    <i>
      <x v="3"/>
    </i>
    <i t="grand">
      <x/>
    </i>
  </rowItems>
  <colFields count="1">
    <field x="11"/>
  </colFields>
  <colItems count="7">
    <i>
      <x/>
    </i>
    <i>
      <x v="1"/>
    </i>
    <i>
      <x v="2"/>
    </i>
    <i>
      <x v="3"/>
    </i>
    <i>
      <x v="4"/>
    </i>
    <i>
      <x v="5"/>
    </i>
    <i t="grand">
      <x/>
    </i>
  </colItems>
  <dataFields count="1">
    <dataField name="Count of Social_Media_Platform" fld="11" subtotal="count" baseField="2"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B70DA9-136A-4805-B41B-00153BFC95C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36:B143" firstHeaderRow="1" firstDataRow="1" firstDataCol="1"/>
  <pivotFields count="13">
    <pivotField dataField="1" showAll="0"/>
    <pivotField numFmtId="1" showAll="0"/>
    <pivotField showAll="0"/>
    <pivotField showAll="0"/>
    <pivotField numFmtId="164" showAll="0"/>
    <pivotField showAll="0"/>
    <pivotField numFmtId="1" showAll="0"/>
    <pivotField numFmtId="1" showAll="0"/>
    <pivotField numFmtId="1" showAll="0"/>
    <pivotField numFmtId="1" showAll="0"/>
    <pivotField showAll="0"/>
    <pivotField axis="axisRow" showAll="0" sortType="descending">
      <items count="7">
        <item x="2"/>
        <item x="1"/>
        <item x="4"/>
        <item x="0"/>
        <item x="5"/>
        <item x="3"/>
        <item t="default"/>
      </items>
      <autoSortScope>
        <pivotArea dataOnly="0" outline="0" fieldPosition="0">
          <references count="1">
            <reference field="4294967294" count="1" selected="0">
              <x v="0"/>
            </reference>
          </references>
        </pivotArea>
      </autoSortScope>
    </pivotField>
    <pivotField numFmtId="1" showAll="0"/>
  </pivotFields>
  <rowFields count="1">
    <field x="11"/>
  </rowFields>
  <rowItems count="7">
    <i>
      <x v="3"/>
    </i>
    <i>
      <x v="2"/>
    </i>
    <i>
      <x v="4"/>
    </i>
    <i>
      <x/>
    </i>
    <i>
      <x v="1"/>
    </i>
    <i>
      <x v="5"/>
    </i>
    <i t="grand">
      <x/>
    </i>
  </rowItems>
  <colItems count="1">
    <i/>
  </colItems>
  <dataFields count="1">
    <dataField name="Count of User_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EDA3EA-7D89-463D-88E5-B24CD19AC8E1}" name="pvtAgeGroup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05:H111" firstHeaderRow="1" firstDataRow="2" firstDataCol="1"/>
  <pivotFields count="13">
    <pivotField showAll="0"/>
    <pivotField numFmtId="1" showAll="0"/>
    <pivotField axis="axisRow" showAll="0">
      <items count="5">
        <item x="0"/>
        <item x="2"/>
        <item x="3"/>
        <item x="1"/>
        <item t="default"/>
      </items>
    </pivotField>
    <pivotField showAll="0">
      <items count="3">
        <item x="1"/>
        <item x="0"/>
        <item t="default"/>
      </items>
    </pivotField>
    <pivotField numFmtId="164" showAll="0"/>
    <pivotField showAll="0">
      <items count="5">
        <item x="3"/>
        <item x="2"/>
        <item x="1"/>
        <item x="0"/>
        <item t="default"/>
      </items>
    </pivotField>
    <pivotField numFmtId="1" showAll="0"/>
    <pivotField numFmtId="1" showAll="0"/>
    <pivotField numFmtId="1" showAll="0"/>
    <pivotField numFmtId="1" showAll="0"/>
    <pivotField showAll="0"/>
    <pivotField axis="axisCol" dataField="1" showAll="0">
      <items count="7">
        <item x="2"/>
        <item x="1"/>
        <item x="4"/>
        <item x="0"/>
        <item x="5"/>
        <item x="3"/>
        <item t="default"/>
      </items>
    </pivotField>
    <pivotField numFmtId="1" showAll="0"/>
  </pivotFields>
  <rowFields count="1">
    <field x="2"/>
  </rowFields>
  <rowItems count="5">
    <i>
      <x/>
    </i>
    <i>
      <x v="1"/>
    </i>
    <i>
      <x v="2"/>
    </i>
    <i>
      <x v="3"/>
    </i>
    <i t="grand">
      <x/>
    </i>
  </rowItems>
  <colFields count="1">
    <field x="11"/>
  </colFields>
  <colItems count="7">
    <i>
      <x/>
    </i>
    <i>
      <x v="1"/>
    </i>
    <i>
      <x v="2"/>
    </i>
    <i>
      <x v="3"/>
    </i>
    <i>
      <x v="4"/>
    </i>
    <i>
      <x v="5"/>
    </i>
    <i t="grand">
      <x/>
    </i>
  </colItems>
  <dataFields count="1">
    <dataField name="Count of Social_Media_Platform" fld="11" subtotal="count" showDataAs="percentOfTotal" baseField="2" baseItem="1" numFmtId="10"/>
  </dataFields>
  <chartFormats count="2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2" format="3" series="1">
      <pivotArea type="data" outline="0" fieldPosition="0">
        <references count="2">
          <reference field="4294967294" count="1" selected="0">
            <x v="0"/>
          </reference>
          <reference field="11" count="1" selected="0">
            <x v="3"/>
          </reference>
        </references>
      </pivotArea>
    </chartFormat>
    <chartFormat chart="2" format="4" series="1">
      <pivotArea type="data" outline="0" fieldPosition="0">
        <references count="2">
          <reference field="4294967294" count="1" selected="0">
            <x v="0"/>
          </reference>
          <reference field="11" count="1" selected="0">
            <x v="4"/>
          </reference>
        </references>
      </pivotArea>
    </chartFormat>
    <chartFormat chart="2" format="5" series="1">
      <pivotArea type="data" outline="0" fieldPosition="0">
        <references count="2">
          <reference field="4294967294" count="1" selected="0">
            <x v="0"/>
          </reference>
          <reference field="11" count="1" selected="0">
            <x v="5"/>
          </reference>
        </references>
      </pivotArea>
    </chartFormat>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 chart="2" format="9" series="1">
      <pivotArea type="data" outline="0" fieldPosition="0">
        <references count="2">
          <reference field="4294967294" count="1" selected="0">
            <x v="0"/>
          </reference>
          <reference field="2" count="1" selected="0">
            <x v="3"/>
          </reference>
        </references>
      </pivotArea>
    </chartFormat>
    <chartFormat chart="10" format="28" series="1">
      <pivotArea type="data" outline="0" fieldPosition="0">
        <references count="2">
          <reference field="4294967294" count="1" selected="0">
            <x v="0"/>
          </reference>
          <reference field="11" count="1" selected="0">
            <x v="0"/>
          </reference>
        </references>
      </pivotArea>
    </chartFormat>
    <chartFormat chart="10" format="29" series="1">
      <pivotArea type="data" outline="0" fieldPosition="0">
        <references count="2">
          <reference field="4294967294" count="1" selected="0">
            <x v="0"/>
          </reference>
          <reference field="11" count="1" selected="0">
            <x v="1"/>
          </reference>
        </references>
      </pivotArea>
    </chartFormat>
    <chartFormat chart="10" format="30" series="1">
      <pivotArea type="data" outline="0" fieldPosition="0">
        <references count="2">
          <reference field="4294967294" count="1" selected="0">
            <x v="0"/>
          </reference>
          <reference field="11" count="1" selected="0">
            <x v="2"/>
          </reference>
        </references>
      </pivotArea>
    </chartFormat>
    <chartFormat chart="10" format="31" series="1">
      <pivotArea type="data" outline="0" fieldPosition="0">
        <references count="2">
          <reference field="4294967294" count="1" selected="0">
            <x v="0"/>
          </reference>
          <reference field="11" count="1" selected="0">
            <x v="3"/>
          </reference>
        </references>
      </pivotArea>
    </chartFormat>
    <chartFormat chart="10" format="32" series="1">
      <pivotArea type="data" outline="0" fieldPosition="0">
        <references count="2">
          <reference field="4294967294" count="1" selected="0">
            <x v="0"/>
          </reference>
          <reference field="11" count="1" selected="0">
            <x v="4"/>
          </reference>
        </references>
      </pivotArea>
    </chartFormat>
    <chartFormat chart="10" format="33"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034A73-44AB-4289-9055-121C5CFE3CE1}"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61:E65" firstHeaderRow="0" firstDataRow="1" firstDataCol="1"/>
  <pivotFields count="13">
    <pivotField showAll="0"/>
    <pivotField numFmtId="1" showAll="0"/>
    <pivotField axis="axisRow" showAll="0" sortType="descending">
      <items count="5">
        <item x="3"/>
        <item x="1"/>
        <item x="2"/>
        <item x="0"/>
        <item t="default"/>
      </items>
      <autoSortScope>
        <pivotArea dataOnly="0" outline="0" fieldPosition="0">
          <references count="1">
            <reference field="4294967294" count="1" selected="0">
              <x v="1"/>
            </reference>
          </references>
        </pivotArea>
      </autoSortScope>
    </pivotField>
    <pivotField showAll="0"/>
    <pivotField dataField="1" numFmtId="164" showAll="0"/>
    <pivotField showAll="0"/>
    <pivotField dataField="1" numFmtId="1" showAll="0"/>
    <pivotField dataField="1" numFmtId="1" showAll="0"/>
    <pivotField numFmtId="1" showAll="0"/>
    <pivotField numFmtId="1" showAll="0"/>
    <pivotField showAll="0"/>
    <pivotField showAll="0"/>
    <pivotField dataField="1" numFmtId="1" showAll="0"/>
  </pivotFields>
  <rowFields count="1">
    <field x="2"/>
  </rowFields>
  <rowItems count="4">
    <i>
      <x v="3"/>
    </i>
    <i>
      <x/>
    </i>
    <i>
      <x v="2"/>
    </i>
    <i>
      <x v="1"/>
    </i>
  </rowItems>
  <colFields count="1">
    <field x="-2"/>
  </colFields>
  <colItems count="4">
    <i>
      <x/>
    </i>
    <i i="1">
      <x v="1"/>
    </i>
    <i i="2">
      <x v="2"/>
    </i>
    <i i="3">
      <x v="3"/>
    </i>
  </colItems>
  <dataFields count="4">
    <dataField name="StdDev of Daily_Screen_Time(hrs)" fld="4" subtotal="stdDev" baseField="2" baseItem="1" numFmtId="164"/>
    <dataField name="StdDev of Sleep_Quality(1-10)" fld="6" subtotal="stdDev" baseField="2" baseItem="1" numFmtId="1"/>
    <dataField name="StdDev of Stress_Level(1-10)" fld="7" subtotal="stdDev" baseField="2" baseItem="1" numFmtId="1"/>
    <dataField name="StdDev of Happiness_Index(1-10)" fld="12" subtotal="stdDev" baseField="2" baseItem="2"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167195-CADD-4844-B150-D9039621DDD7}"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29:F33" firstHeaderRow="0" firstDataRow="1" firstDataCol="1"/>
  <pivotFields count="13">
    <pivotField showAll="0"/>
    <pivotField numFmtId="1" showAll="0"/>
    <pivotField showAll="0"/>
    <pivotField showAll="0"/>
    <pivotField numFmtId="164" showAll="0"/>
    <pivotField axis="axisRow" showAll="0">
      <items count="5">
        <item x="3"/>
        <item x="2"/>
        <item x="1"/>
        <item x="0"/>
        <item t="default"/>
      </items>
    </pivotField>
    <pivotField dataField="1" numFmtId="1" showAll="0"/>
    <pivotField dataField="1" numFmtId="1" showAll="0"/>
    <pivotField dataField="1" numFmtId="1" showAll="0"/>
    <pivotField dataField="1" numFmtId="1" showAll="0"/>
    <pivotField showAll="0"/>
    <pivotField showAll="0"/>
    <pivotField dataField="1" numFmtId="1" showAll="0"/>
  </pivotFields>
  <rowFields count="1">
    <field x="5"/>
  </rowFields>
  <rowItems count="4">
    <i>
      <x/>
    </i>
    <i>
      <x v="1"/>
    </i>
    <i>
      <x v="2"/>
    </i>
    <i>
      <x v="3"/>
    </i>
  </rowItems>
  <colFields count="1">
    <field x="-2"/>
  </colFields>
  <colItems count="5">
    <i>
      <x/>
    </i>
    <i i="1">
      <x v="1"/>
    </i>
    <i i="2">
      <x v="2"/>
    </i>
    <i i="3">
      <x v="3"/>
    </i>
    <i i="4">
      <x v="4"/>
    </i>
  </colItems>
  <dataFields count="5">
    <dataField name="Average of Sleep_Quality(1-10)" fld="6" subtotal="average" baseField="2" baseItem="0" numFmtId="1"/>
    <dataField name="Average of Stress_Level(1-10)" fld="7" subtotal="average" baseField="2" baseItem="3" numFmtId="1"/>
    <dataField name="Average of Happiness_Index(1-10)" fld="12" subtotal="average" baseField="2" baseItem="3" numFmtId="1"/>
    <dataField name="Average of Days_Without_Social_Media" fld="8" subtotal="average" baseField="2" baseItem="0" numFmtId="1"/>
    <dataField name="Average of Exercise_Frequency(week)" fld="9" subtotal="average" baseField="2" baseItem="0" numFmtId="1"/>
  </dataFields>
  <chartFormats count="10">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1831A1E-402D-41FC-9B64-7A261A94443E}"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A71:E75" firstHeaderRow="0" firstDataRow="1" firstDataCol="1"/>
  <pivotFields count="13">
    <pivotField showAll="0"/>
    <pivotField numFmtId="1" showAll="0"/>
    <pivotField axis="axisRow" showAll="0" sortType="descending">
      <items count="5">
        <item x="3"/>
        <item x="1"/>
        <item x="2"/>
        <item x="0"/>
        <item t="default"/>
      </items>
      <autoSortScope>
        <pivotArea dataOnly="0" outline="0" fieldPosition="0">
          <references count="1">
            <reference field="4294967294" count="1" selected="0">
              <x v="1"/>
            </reference>
          </references>
        </pivotArea>
      </autoSortScope>
    </pivotField>
    <pivotField showAll="0"/>
    <pivotField dataField="1" numFmtId="164" showAll="0"/>
    <pivotField showAll="0"/>
    <pivotField dataField="1" numFmtId="1" showAll="0"/>
    <pivotField dataField="1" numFmtId="1" showAll="0"/>
    <pivotField numFmtId="1" showAll="0"/>
    <pivotField numFmtId="1" showAll="0"/>
    <pivotField showAll="0"/>
    <pivotField showAll="0"/>
    <pivotField dataField="1" numFmtId="1" showAll="0"/>
  </pivotFields>
  <rowFields count="1">
    <field x="2"/>
  </rowFields>
  <rowItems count="4">
    <i>
      <x v="3"/>
    </i>
    <i>
      <x/>
    </i>
    <i>
      <x v="2"/>
    </i>
    <i>
      <x v="1"/>
    </i>
  </rowItems>
  <colFields count="1">
    <field x="-2"/>
  </colFields>
  <colItems count="4">
    <i>
      <x/>
    </i>
    <i i="1">
      <x v="1"/>
    </i>
    <i i="2">
      <x v="2"/>
    </i>
    <i i="3">
      <x v="3"/>
    </i>
  </colItems>
  <dataFields count="4">
    <dataField name="Var of Daily_Screen_Time(hrs)" fld="4" subtotal="var" baseField="2" baseItem="3" numFmtId="164"/>
    <dataField name="Var of Sleep_Quality(1-10)" fld="6" subtotal="var" baseField="2" baseItem="3" numFmtId="1"/>
    <dataField name="Var of Stress_Level(1-10)" fld="7" subtotal="var" baseField="2" baseItem="3" numFmtId="1"/>
    <dataField name="Var of Happiness_Index(1-10)" fld="12" subtotal="var" baseField="2" baseItem="3"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1C7461-1AA5-48E6-ABB1-7690C1FD9797}" name="pvtAvgU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57:B64" firstHeaderRow="1" firstDataRow="1" firstDataCol="1"/>
  <pivotFields count="13">
    <pivotField showAll="0"/>
    <pivotField numFmtId="1" showAll="0"/>
    <pivotField showAll="0">
      <items count="5">
        <item x="0"/>
        <item x="2"/>
        <item x="3"/>
        <item x="1"/>
        <item t="default"/>
      </items>
    </pivotField>
    <pivotField showAll="0">
      <items count="3">
        <item x="1"/>
        <item x="0"/>
        <item t="default"/>
      </items>
    </pivotField>
    <pivotField dataField="1" numFmtId="164" showAll="0"/>
    <pivotField showAll="0">
      <items count="5">
        <item x="3"/>
        <item x="2"/>
        <item x="1"/>
        <item x="0"/>
        <item t="default"/>
      </items>
    </pivotField>
    <pivotField numFmtId="1" showAll="0"/>
    <pivotField numFmtId="1" showAll="0"/>
    <pivotField numFmtId="1" showAll="0"/>
    <pivotField numFmtId="1" showAll="0"/>
    <pivotField showAll="0"/>
    <pivotField axis="axisRow" showAll="0" sortType="ascending">
      <items count="7">
        <item x="2"/>
        <item x="1"/>
        <item x="4"/>
        <item x="0"/>
        <item x="5"/>
        <item x="3"/>
        <item t="default"/>
      </items>
      <autoSortScope>
        <pivotArea dataOnly="0" outline="0" fieldPosition="0">
          <references count="1">
            <reference field="4294967294" count="1" selected="0">
              <x v="0"/>
            </reference>
          </references>
        </pivotArea>
      </autoSortScope>
    </pivotField>
    <pivotField numFmtId="1" showAll="0"/>
  </pivotFields>
  <rowFields count="1">
    <field x="11"/>
  </rowFields>
  <rowItems count="7">
    <i>
      <x v="2"/>
    </i>
    <i>
      <x v="4"/>
    </i>
    <i>
      <x v="3"/>
    </i>
    <i>
      <x v="5"/>
    </i>
    <i>
      <x/>
    </i>
    <i>
      <x v="1"/>
    </i>
    <i t="grand">
      <x/>
    </i>
  </rowItems>
  <colItems count="1">
    <i/>
  </colItems>
  <dataFields count="1">
    <dataField name="Average of Daily_Screen_Time(hrs)" fld="4" subtotal="average" baseField="11" baseItem="4" numFmtId="164"/>
  </dataFields>
  <chartFormats count="2">
    <chartFormat chart="4"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794E83-3C9E-4B2C-9EB0-88CB71D6E8EB}" name="pvtScreenGroups"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A74:D78" firstHeaderRow="0" firstDataRow="1" firstDataCol="1"/>
  <pivotFields count="13">
    <pivotField showAll="0"/>
    <pivotField numFmtId="1" showAll="0"/>
    <pivotField showAll="0">
      <items count="5">
        <item x="0"/>
        <item x="2"/>
        <item x="3"/>
        <item x="1"/>
        <item t="default"/>
      </items>
    </pivotField>
    <pivotField showAll="0">
      <items count="3">
        <item x="1"/>
        <item x="0"/>
        <item t="default"/>
      </items>
    </pivotField>
    <pivotField numFmtId="164" showAll="0"/>
    <pivotField axis="axisRow" showAll="0">
      <items count="5">
        <item x="3"/>
        <item x="2"/>
        <item x="1"/>
        <item x="0"/>
        <item t="default"/>
      </items>
    </pivotField>
    <pivotField dataField="1" numFmtId="1" showAll="0"/>
    <pivotField dataField="1" numFmtId="1" showAll="0"/>
    <pivotField numFmtId="1" showAll="0"/>
    <pivotField numFmtId="1" showAll="0"/>
    <pivotField showAll="0"/>
    <pivotField showAll="0"/>
    <pivotField dataField="1" numFmtId="1" showAll="0"/>
  </pivotFields>
  <rowFields count="1">
    <field x="5"/>
  </rowFields>
  <rowItems count="4">
    <i>
      <x/>
    </i>
    <i>
      <x v="1"/>
    </i>
    <i>
      <x v="2"/>
    </i>
    <i>
      <x v="3"/>
    </i>
  </rowItems>
  <colFields count="1">
    <field x="-2"/>
  </colFields>
  <colItems count="3">
    <i>
      <x/>
    </i>
    <i i="1">
      <x v="1"/>
    </i>
    <i i="2">
      <x v="2"/>
    </i>
  </colItems>
  <dataFields count="3">
    <dataField name="Average of Stress Level (1-10)" fld="7" subtotal="average" baseField="5" baseItem="0" numFmtId="1"/>
    <dataField name="Average of Happiness (1-10)" fld="12" subtotal="average" baseField="5" baseItem="0" numFmtId="1"/>
    <dataField name="Average of Sleep Quality (1-10)" fld="6" subtotal="average" baseField="5" baseItem="0" numFmtId="1"/>
  </dataFields>
  <chartFormats count="10">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2"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1"/>
          </reference>
        </references>
      </pivotArea>
    </chartFormat>
    <chartFormat chart="13" format="13" series="1">
      <pivotArea type="data" outline="0" fieldPosition="0">
        <references count="1">
          <reference field="4294967294" count="1" selected="0">
            <x v="2"/>
          </reference>
        </references>
      </pivotArea>
    </chartFormat>
    <chartFormat chart="13"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3AD29F-DE96-4D3E-B728-6E4E7A57C5F1}"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8:D44" firstHeaderRow="1" firstDataRow="2" firstDataCol="1"/>
  <pivotFields count="13">
    <pivotField dataField="1" showAll="0"/>
    <pivotField numFmtId="1" showAll="0"/>
    <pivotField showAll="0"/>
    <pivotField axis="axisCol" showAll="0">
      <items count="3">
        <item x="1"/>
        <item x="0"/>
        <item t="default"/>
      </items>
    </pivotField>
    <pivotField numFmtId="164" showAll="0"/>
    <pivotField axis="axisRow" showAll="0">
      <items count="5">
        <item x="3"/>
        <item x="2"/>
        <item x="1"/>
        <item x="0"/>
        <item t="default"/>
      </items>
    </pivotField>
    <pivotField numFmtId="1" showAll="0"/>
    <pivotField numFmtId="1" showAll="0"/>
    <pivotField numFmtId="1" showAll="0"/>
    <pivotField numFmtId="1" showAll="0"/>
    <pivotField showAll="0"/>
    <pivotField showAll="0"/>
    <pivotField numFmtId="1" showAll="0"/>
  </pivotFields>
  <rowFields count="1">
    <field x="5"/>
  </rowFields>
  <rowItems count="5">
    <i>
      <x/>
    </i>
    <i>
      <x v="1"/>
    </i>
    <i>
      <x v="2"/>
    </i>
    <i>
      <x v="3"/>
    </i>
    <i t="grand">
      <x/>
    </i>
  </rowItems>
  <colFields count="1">
    <field x="3"/>
  </colFields>
  <colItems count="3">
    <i>
      <x/>
    </i>
    <i>
      <x v="1"/>
    </i>
    <i t="grand">
      <x/>
    </i>
  </colItems>
  <dataFields count="1">
    <dataField name="Count of User_ID" fld="0" subtotal="count" showDataAs="percentOfTotal" baseField="5" baseItem="1" numFmtId="1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8" format="8" series="1">
      <pivotArea type="data" outline="0" fieldPosition="0">
        <references count="2">
          <reference field="4294967294" count="1" selected="0">
            <x v="0"/>
          </reference>
          <reference field="3" count="1" selected="0">
            <x v="0"/>
          </reference>
        </references>
      </pivotArea>
    </chartFormat>
    <chartFormat chart="8"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15573A-0E3A-452A-AC8A-3332F85506E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D25" firstHeaderRow="1" firstDataRow="2" firstDataCol="1"/>
  <pivotFields count="13">
    <pivotField dataField="1" showAll="0"/>
    <pivotField numFmtId="1" showAll="0"/>
    <pivotField axis="axisRow" showAll="0">
      <items count="5">
        <item x="0"/>
        <item x="2"/>
        <item x="3"/>
        <item x="1"/>
        <item t="default"/>
      </items>
    </pivotField>
    <pivotField axis="axisCol" showAll="0">
      <items count="3">
        <item x="1"/>
        <item x="0"/>
        <item t="default"/>
      </items>
    </pivotField>
    <pivotField numFmtId="164" showAll="0"/>
    <pivotField showAll="0"/>
    <pivotField numFmtId="1" showAll="0"/>
    <pivotField numFmtId="1" showAll="0"/>
    <pivotField numFmtId="1" showAll="0"/>
    <pivotField numFmtId="1" showAll="0"/>
    <pivotField showAll="0"/>
    <pivotField showAll="0"/>
    <pivotField numFmtId="1" showAll="0"/>
  </pivotFields>
  <rowFields count="1">
    <field x="2"/>
  </rowFields>
  <rowItems count="5">
    <i>
      <x/>
    </i>
    <i>
      <x v="1"/>
    </i>
    <i>
      <x v="2"/>
    </i>
    <i>
      <x v="3"/>
    </i>
    <i t="grand">
      <x/>
    </i>
  </rowItems>
  <colFields count="1">
    <field x="3"/>
  </colFields>
  <colItems count="3">
    <i>
      <x/>
    </i>
    <i>
      <x v="1"/>
    </i>
    <i t="grand">
      <x/>
    </i>
  </colItems>
  <dataFields count="1">
    <dataField name="Count of User_ID" fld="0" subtotal="count" baseField="0" baseItem="0"/>
  </dataFields>
  <chartFormats count="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3031F36-C055-4BFF-8B89-60E09EB60E24}"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F7" firstHeaderRow="1" firstDataRow="2" firstDataCol="1"/>
  <pivotFields count="13">
    <pivotField dataField="1" showAll="0"/>
    <pivotField numFmtId="1" showAll="0"/>
    <pivotField axis="axisCol" showAll="0">
      <items count="5">
        <item x="0"/>
        <item x="2"/>
        <item x="3"/>
        <item x="1"/>
        <item t="default"/>
      </items>
    </pivotField>
    <pivotField axis="axisRow" showAll="0">
      <items count="3">
        <item x="1"/>
        <item x="0"/>
        <item t="default"/>
      </items>
    </pivotField>
    <pivotField numFmtId="164" showAll="0"/>
    <pivotField showAll="0"/>
    <pivotField numFmtId="1" showAll="0"/>
    <pivotField numFmtId="1" showAll="0"/>
    <pivotField numFmtId="1" showAll="0"/>
    <pivotField numFmtId="1" showAll="0"/>
    <pivotField showAll="0"/>
    <pivotField showAll="0"/>
    <pivotField numFmtId="1" showAll="0"/>
  </pivotFields>
  <rowFields count="1">
    <field x="3"/>
  </rowFields>
  <rowItems count="3">
    <i>
      <x/>
    </i>
    <i>
      <x v="1"/>
    </i>
    <i t="grand">
      <x/>
    </i>
  </rowItems>
  <colFields count="1">
    <field x="2"/>
  </colFields>
  <colItems count="5">
    <i>
      <x/>
    </i>
    <i>
      <x v="1"/>
    </i>
    <i>
      <x v="2"/>
    </i>
    <i>
      <x v="3"/>
    </i>
    <i t="grand">
      <x/>
    </i>
  </colItems>
  <dataFields count="1">
    <dataField name="Count of User_ID" fld="0" subtotal="count" baseField="0" baseItem="0"/>
  </dataFields>
  <chartFormats count="4">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3"/>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 chart="0" format="3"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A2B35BB-F1FC-49E0-B0DA-E185617A22B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11" firstHeaderRow="1" firstDataRow="2" firstDataCol="1"/>
  <pivotFields count="13">
    <pivotField dataField="1" showAll="0"/>
    <pivotField numFmtId="1" showAll="0"/>
    <pivotField showAll="0"/>
    <pivotField showAll="0"/>
    <pivotField numFmtId="164" showAll="0"/>
    <pivotField showAll="0"/>
    <pivotField numFmtId="1" showAll="0"/>
    <pivotField numFmtId="1" showAll="0"/>
    <pivotField numFmtId="1" showAll="0"/>
    <pivotField numFmtId="1" showAll="0"/>
    <pivotField axis="axisCol" showAll="0">
      <items count="4">
        <item x="2"/>
        <item x="0"/>
        <item x="1"/>
        <item t="default"/>
      </items>
    </pivotField>
    <pivotField axis="axisRow" showAll="0" sortType="ascending">
      <items count="7">
        <item x="2"/>
        <item x="1"/>
        <item x="4"/>
        <item x="0"/>
        <item x="5"/>
        <item x="3"/>
        <item t="default"/>
      </items>
      <autoSortScope>
        <pivotArea dataOnly="0" outline="0" fieldPosition="0">
          <references count="1">
            <reference field="4294967294" count="1" selected="0">
              <x v="0"/>
            </reference>
          </references>
        </pivotArea>
      </autoSortScope>
    </pivotField>
    <pivotField numFmtId="1" showAll="0"/>
  </pivotFields>
  <rowFields count="1">
    <field x="11"/>
  </rowFields>
  <rowItems count="7">
    <i>
      <x v="5"/>
    </i>
    <i>
      <x v="1"/>
    </i>
    <i>
      <x/>
    </i>
    <i>
      <x v="4"/>
    </i>
    <i>
      <x v="2"/>
    </i>
    <i>
      <x v="3"/>
    </i>
    <i t="grand">
      <x/>
    </i>
  </rowItems>
  <colFields count="1">
    <field x="10"/>
  </colFields>
  <colItems count="4">
    <i>
      <x/>
    </i>
    <i>
      <x v="1"/>
    </i>
    <i>
      <x v="2"/>
    </i>
    <i t="grand">
      <x/>
    </i>
  </colItems>
  <dataFields count="1">
    <dataField name="Count of User_ID" fld="0" subtotal="count" showDataAs="percentOfTotal" baseField="10" baseItem="0" numFmtId="10"/>
  </dataFields>
  <chartFormats count="3">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2"/>
          </reference>
        </references>
      </pivotArea>
    </chartFormat>
    <chartFormat chart="0" format="2"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8395E25-5FFF-4636-B326-1917B34283E9}" name="pvtExerc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0:E36" firstHeaderRow="1" firstDataRow="2" firstDataCol="1"/>
  <pivotFields count="13">
    <pivotField dataField="1" showAll="0"/>
    <pivotField numFmtId="1" showAll="0"/>
    <pivotField showAll="0">
      <items count="5">
        <item x="0"/>
        <item x="2"/>
        <item x="3"/>
        <item x="1"/>
        <item t="default"/>
      </items>
    </pivotField>
    <pivotField showAll="0">
      <items count="3">
        <item x="1"/>
        <item x="0"/>
        <item t="default"/>
      </items>
    </pivotField>
    <pivotField numFmtId="164" showAll="0"/>
    <pivotField axis="axisRow" showAll="0">
      <items count="5">
        <item x="3"/>
        <item x="2"/>
        <item x="1"/>
        <item x="0"/>
        <item t="default"/>
      </items>
    </pivotField>
    <pivotField numFmtId="1" showAll="0"/>
    <pivotField numFmtId="1" showAll="0"/>
    <pivotField numFmtId="1" showAll="0"/>
    <pivotField numFmtId="1" showAll="0"/>
    <pivotField axis="axisCol" showAll="0">
      <items count="4">
        <item x="1"/>
        <item x="0"/>
        <item x="2"/>
        <item t="default"/>
      </items>
    </pivotField>
    <pivotField showAll="0" sortType="ascending">
      <autoSortScope>
        <pivotArea dataOnly="0" outline="0" fieldPosition="0">
          <references count="1">
            <reference field="4294967294" count="1" selected="0">
              <x v="0"/>
            </reference>
          </references>
        </pivotArea>
      </autoSortScope>
    </pivotField>
    <pivotField numFmtId="1" showAll="0"/>
  </pivotFields>
  <rowFields count="1">
    <field x="5"/>
  </rowFields>
  <rowItems count="5">
    <i>
      <x/>
    </i>
    <i>
      <x v="1"/>
    </i>
    <i>
      <x v="2"/>
    </i>
    <i>
      <x v="3"/>
    </i>
    <i t="grand">
      <x/>
    </i>
  </rowItems>
  <colFields count="1">
    <field x="10"/>
  </colFields>
  <colItems count="4">
    <i>
      <x/>
    </i>
    <i>
      <x v="1"/>
    </i>
    <i>
      <x v="2"/>
    </i>
    <i t="grand">
      <x/>
    </i>
  </colItems>
  <dataFields count="1">
    <dataField name="Count of User_ID" fld="0" subtotal="count" showDataAs="percentOfTotal" baseField="10" baseItem="0" numFmtId="10"/>
  </dataFields>
  <chartFormats count="16">
    <chartFormat chart="0" format="0" series="1">
      <pivotArea type="data" outline="0" fieldPosition="0">
        <references count="2">
          <reference field="4294967294" count="1" selected="0">
            <x v="0"/>
          </reference>
          <reference field="10" count="1" selected="0">
            <x v="2"/>
          </reference>
        </references>
      </pivotArea>
    </chartFormat>
    <chartFormat chart="0" format="1" series="1">
      <pivotArea type="data" outline="0" fieldPosition="0">
        <references count="2">
          <reference field="4294967294" count="1" selected="0">
            <x v="0"/>
          </reference>
          <reference field="10" count="1" selected="0">
            <x v="0"/>
          </reference>
        </references>
      </pivotArea>
    </chartFormat>
    <chartFormat chart="0" format="2" series="1">
      <pivotArea type="data" outline="0" fieldPosition="0">
        <references count="2">
          <reference field="4294967294" count="1" selected="0">
            <x v="0"/>
          </reference>
          <reference field="10" count="1" selected="0">
            <x v="1"/>
          </reference>
        </references>
      </pivotArea>
    </chartFormat>
    <chartFormat chart="2" format="0" series="1">
      <pivotArea type="data" outline="0" fieldPosition="0">
        <references count="2">
          <reference field="4294967294" count="1" selected="0">
            <x v="0"/>
          </reference>
          <reference field="10" count="1" selected="0">
            <x v="2"/>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2" format="2" series="1">
      <pivotArea type="data" outline="0" fieldPosition="0">
        <references count="2">
          <reference field="4294967294" count="1" selected="0">
            <x v="0"/>
          </reference>
          <reference field="10" count="1" selected="0">
            <x v="0"/>
          </reference>
        </references>
      </pivotArea>
    </chartFormat>
    <chartFormat chart="2" format="3" series="1">
      <pivotArea type="data" outline="0" fieldPosition="0">
        <references count="2">
          <reference field="4294967294" count="1" selected="0">
            <x v="0"/>
          </reference>
          <reference field="5" count="1" selected="0">
            <x v="3"/>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5" count="1" selected="0">
            <x v="2"/>
          </reference>
        </references>
      </pivotArea>
    </chartFormat>
    <chartFormat chart="5" format="7" series="1">
      <pivotArea type="data" outline="0" fieldPosition="0">
        <references count="2">
          <reference field="4294967294" count="1" selected="0">
            <x v="0"/>
          </reference>
          <reference field="10" count="1" selected="0">
            <x v="0"/>
          </reference>
        </references>
      </pivotArea>
    </chartFormat>
    <chartFormat chart="5" format="8" series="1">
      <pivotArea type="data" outline="0" fieldPosition="0">
        <references count="2">
          <reference field="4294967294" count="1" selected="0">
            <x v="0"/>
          </reference>
          <reference field="10" count="1" selected="0">
            <x v="1"/>
          </reference>
        </references>
      </pivotArea>
    </chartFormat>
    <chartFormat chart="5" format="9" series="1">
      <pivotArea type="data" outline="0" fieldPosition="0">
        <references count="2">
          <reference field="4294967294" count="1" selected="0">
            <x v="0"/>
          </reference>
          <reference field="10" count="1" selected="0">
            <x v="2"/>
          </reference>
        </references>
      </pivotArea>
    </chartFormat>
    <chartFormat chart="6" format="10" series="1">
      <pivotArea type="data" outline="0" fieldPosition="0">
        <references count="2">
          <reference field="4294967294" count="1" selected="0">
            <x v="0"/>
          </reference>
          <reference field="10" count="1" selected="0">
            <x v="0"/>
          </reference>
        </references>
      </pivotArea>
    </chartFormat>
    <chartFormat chart="6" format="11" series="1">
      <pivotArea type="data" outline="0" fieldPosition="0">
        <references count="2">
          <reference field="4294967294" count="1" selected="0">
            <x v="0"/>
          </reference>
          <reference field="10" count="1" selected="0">
            <x v="1"/>
          </reference>
        </references>
      </pivotArea>
    </chartFormat>
    <chartFormat chart="6" format="12"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493A3FE2-F283-4C28-81CE-230C8F69BC73}" sourceName="Age_Groups">
  <pivotTables>
    <pivotTable tabId="13" name="pvtScreenGroups"/>
    <pivotTable tabId="13" name="pvtAvgUse"/>
    <pivotTable tabId="17" name="pvtExercise"/>
  </pivotTables>
  <data>
    <tabular pivotCacheId="87331796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19B9DF-2F0C-4BD1-8D7A-CAA4D78AD8C1}" sourceName="Gender">
  <pivotTables>
    <pivotTable tabId="13" name="pvtScreenGroups"/>
    <pivotTable tabId="9" name="pvtAgeGroups"/>
    <pivotTable tabId="13" name="pvtAvgUse"/>
    <pivotTable tabId="17" name="pvtExercise"/>
  </pivotTables>
  <data>
    <tabular pivotCacheId="87331796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Groups" xr10:uid="{829C9257-7B89-40AF-8FEE-0BE0C53626D5}" sourceName="Screen_Time_Groups">
  <pivotTables>
    <pivotTable tabId="9" name="pvtAgeGroups"/>
    <pivotTable tabId="13" name="pvtAvgUse"/>
  </pivotTables>
  <data>
    <tabular pivotCacheId="873317969">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s" xr10:uid="{7BF21F9F-966C-4CD9-B8C2-DABB84C76421}" cache="Slicer_Age_Groups" caption="Age Groups" style="SlicerStyleDark2" rowHeight="273050"/>
  <slicer name="Gender" xr10:uid="{001661FE-F1EC-4454-9D29-97E0F754EEF8}" cache="Slicer_Gender" caption="Gender" style="SlicerStyleDark2" rowHeight="273050"/>
  <slicer name="Screen_Time_Groups" xr10:uid="{74E42C7B-3692-4BFB-848D-A8971C3B9FE7}" cache="Slicer_Screen_Time_Groups" caption="Screen Time" style="SlicerStyleDark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820B8E-5720-4AFD-882C-F110719C193B}" name="Table1" displayName="Table1" ref="A1:M478" totalsRowShown="0" headerRowDxfId="10">
  <autoFilter ref="A1:M478" xr:uid="{2AA890D8-88A4-4C5D-9AA5-03DB8DBC3DA3}"/>
  <sortState xmlns:xlrd2="http://schemas.microsoft.com/office/spreadsheetml/2017/richdata2" ref="A2:M478">
    <sortCondition ref="M1:M478"/>
  </sortState>
  <tableColumns count="13">
    <tableColumn id="1" xr3:uid="{47B87044-5EDB-4340-BF9D-877B12CB0329}" name="User_ID"/>
    <tableColumn id="2" xr3:uid="{B4CA670F-76FC-46A0-A218-9C374A6BCDE1}" name="Age" dataDxfId="9"/>
    <tableColumn id="3" xr3:uid="{07581B83-7301-41B9-A1EF-22A32715BE75}" name="Age_Groups" dataDxfId="8">
      <calculatedColumnFormula array="1">_xlfn.IFS(B2&lt;25, "Youth (16–24)", B2&lt;35, "Young Adults (25–34)", B2&lt;45, "Adults (35–44)", B2&lt;55, "Middle-aged (45–54)")</calculatedColumnFormula>
    </tableColumn>
    <tableColumn id="4" xr3:uid="{651F6A1A-0EAA-4B7D-9B7B-CAC1046D2AC1}" name="Gender"/>
    <tableColumn id="5" xr3:uid="{FEDCA9C2-A8E4-45FC-AE58-A80656C3389D}" name="Daily_Screen_Time(hrs)" dataDxfId="7"/>
    <tableColumn id="6" xr3:uid="{1827289E-771A-47B2-9E7C-6B1005B17E3D}" name="Screen_Time_Groups" dataDxfId="6">
      <calculatedColumnFormula array="1">_xlfn.IFS(E2&lt;3, "Low (0–3 hrs)", E2&lt;6, "Moderate (3–6 hrs)", E2&lt;8, "High (6–8 hrs)", E2&gt;=8, "Very High (8+ hrs)")</calculatedColumnFormula>
    </tableColumn>
    <tableColumn id="7" xr3:uid="{DD5025DC-FD3A-4B4F-AE59-634FCA650144}" name="Sleep_Quality(1-10)" dataDxfId="5"/>
    <tableColumn id="8" xr3:uid="{A745E132-A693-4536-A351-A3307027E623}" name="Stress_Level(1-10)" dataDxfId="4"/>
    <tableColumn id="9" xr3:uid="{3CA77DD3-BFEA-4DD8-9C42-5DF7210F8959}" name="Days_Without_Social_Media" dataDxfId="3"/>
    <tableColumn id="10" xr3:uid="{49AB4138-5EE3-4CD8-84EB-46FFA98D4AAC}" name="Exercise_Frequency(week)" dataDxfId="2"/>
    <tableColumn id="15" xr3:uid="{25C07E67-2355-45E2-9860-567AD2A474A3}" name="Exercise_Frequency_Groups" dataDxfId="1">
      <calculatedColumnFormula array="1">_xlfn.IFS(Table1[[#This Row],[Exercise_Frequency(week)]]&lt;3, "Beginners (0–2 days)", Table1[[#This Row],[Exercise_Frequency(week)]]&lt;5, "Intermediate (3–4 days)", Table1[[#This Row],[Exercise_Frequency(week)]]&lt;8, "Advanced (5–7 days)")</calculatedColumnFormula>
    </tableColumn>
    <tableColumn id="11" xr3:uid="{85A5BACD-CDD8-42F6-B325-F38FB8E864A4}" name="Social_Media_Platform"/>
    <tableColumn id="12" xr3:uid="{32ED4F85-4CCC-4FCC-B8B5-F12C65BDF196}" name="Happiness_Index(1-10)"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2.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874C4-F3FA-4569-8137-C80D62B63794}">
  <dimension ref="A1:J501"/>
  <sheetViews>
    <sheetView workbookViewId="0">
      <selection activeCell="G12" sqref="G12"/>
    </sheetView>
  </sheetViews>
  <sheetFormatPr defaultRowHeight="15.75" x14ac:dyDescent="0.5"/>
  <cols>
    <col min="1" max="1" width="7" bestFit="1" customWidth="1"/>
    <col min="2" max="2" width="3.625" bestFit="1" customWidth="1"/>
    <col min="3" max="3" width="6.6875" bestFit="1" customWidth="1"/>
    <col min="4" max="4" width="19.6875" bestFit="1" customWidth="1"/>
    <col min="5" max="5" width="16.625" bestFit="1" customWidth="1"/>
    <col min="6" max="6" width="15.6875" bestFit="1" customWidth="1"/>
    <col min="7" max="7" width="23.25" bestFit="1" customWidth="1"/>
    <col min="8" max="8" width="22.125" bestFit="1" customWidth="1"/>
    <col min="9" max="9" width="19.125" bestFit="1" customWidth="1"/>
    <col min="10" max="10" width="19.3125" bestFit="1" customWidth="1"/>
  </cols>
  <sheetData>
    <row r="1" spans="1:10" x14ac:dyDescent="0.5">
      <c r="A1" t="s">
        <v>0</v>
      </c>
      <c r="B1" t="s">
        <v>1</v>
      </c>
      <c r="C1" t="s">
        <v>2</v>
      </c>
      <c r="D1" t="s">
        <v>3</v>
      </c>
      <c r="E1" t="s">
        <v>4</v>
      </c>
      <c r="F1" t="s">
        <v>5</v>
      </c>
      <c r="G1" t="s">
        <v>6</v>
      </c>
      <c r="H1" t="s">
        <v>7</v>
      </c>
      <c r="I1" t="s">
        <v>8</v>
      </c>
      <c r="J1" t="s">
        <v>9</v>
      </c>
    </row>
    <row r="2" spans="1:10" x14ac:dyDescent="0.5">
      <c r="A2" t="s">
        <v>10</v>
      </c>
      <c r="B2">
        <v>44</v>
      </c>
      <c r="C2" t="s">
        <v>11</v>
      </c>
      <c r="D2">
        <v>3.1</v>
      </c>
      <c r="E2">
        <v>7</v>
      </c>
      <c r="F2">
        <v>6</v>
      </c>
      <c r="G2">
        <v>2</v>
      </c>
      <c r="H2">
        <v>5</v>
      </c>
      <c r="I2" t="s">
        <v>12</v>
      </c>
      <c r="J2">
        <v>10</v>
      </c>
    </row>
    <row r="3" spans="1:10" x14ac:dyDescent="0.5">
      <c r="A3" t="s">
        <v>519</v>
      </c>
      <c r="B3">
        <v>30</v>
      </c>
      <c r="C3" t="s">
        <v>496</v>
      </c>
      <c r="D3">
        <v>5.0999999999999996</v>
      </c>
      <c r="E3">
        <v>7</v>
      </c>
      <c r="F3">
        <v>8</v>
      </c>
      <c r="G3">
        <v>5</v>
      </c>
      <c r="H3">
        <v>3</v>
      </c>
      <c r="I3" t="s">
        <v>13</v>
      </c>
      <c r="J3">
        <v>10</v>
      </c>
    </row>
    <row r="4" spans="1:10" x14ac:dyDescent="0.5">
      <c r="A4" t="s">
        <v>518</v>
      </c>
      <c r="B4">
        <v>23</v>
      </c>
      <c r="C4" t="s">
        <v>496</v>
      </c>
      <c r="D4">
        <v>7.4</v>
      </c>
      <c r="E4">
        <v>6</v>
      </c>
      <c r="F4">
        <v>7</v>
      </c>
      <c r="G4">
        <v>1</v>
      </c>
      <c r="H4">
        <v>3</v>
      </c>
      <c r="I4" t="s">
        <v>14</v>
      </c>
      <c r="J4">
        <v>6</v>
      </c>
    </row>
    <row r="5" spans="1:10" x14ac:dyDescent="0.5">
      <c r="A5" t="s">
        <v>15</v>
      </c>
      <c r="B5">
        <v>36</v>
      </c>
      <c r="C5" t="s">
        <v>16</v>
      </c>
      <c r="D5">
        <v>5.7</v>
      </c>
      <c r="E5">
        <v>7</v>
      </c>
      <c r="F5">
        <v>8</v>
      </c>
      <c r="G5">
        <v>1</v>
      </c>
      <c r="H5">
        <v>1</v>
      </c>
      <c r="I5" t="s">
        <v>17</v>
      </c>
      <c r="J5">
        <v>8</v>
      </c>
    </row>
    <row r="6" spans="1:10" x14ac:dyDescent="0.5">
      <c r="A6" t="s">
        <v>18</v>
      </c>
      <c r="B6">
        <v>34</v>
      </c>
      <c r="C6" t="s">
        <v>16</v>
      </c>
      <c r="D6">
        <v>7</v>
      </c>
      <c r="E6">
        <v>4</v>
      </c>
      <c r="F6">
        <v>7</v>
      </c>
      <c r="G6">
        <v>5</v>
      </c>
      <c r="H6">
        <v>1</v>
      </c>
      <c r="I6" t="s">
        <v>19</v>
      </c>
      <c r="J6">
        <v>8</v>
      </c>
    </row>
    <row r="7" spans="1:10" x14ac:dyDescent="0.5">
      <c r="A7" t="s">
        <v>20</v>
      </c>
      <c r="B7">
        <v>38</v>
      </c>
      <c r="C7" t="s">
        <v>11</v>
      </c>
      <c r="D7">
        <v>6.6</v>
      </c>
      <c r="E7">
        <v>5</v>
      </c>
      <c r="F7">
        <v>7</v>
      </c>
      <c r="G7">
        <v>4</v>
      </c>
      <c r="H7">
        <v>3</v>
      </c>
      <c r="I7" t="s">
        <v>13</v>
      </c>
      <c r="J7">
        <v>8</v>
      </c>
    </row>
    <row r="8" spans="1:10" x14ac:dyDescent="0.5">
      <c r="A8" t="s">
        <v>21</v>
      </c>
      <c r="B8">
        <v>26</v>
      </c>
      <c r="C8" t="s">
        <v>16</v>
      </c>
      <c r="D8">
        <v>7.8</v>
      </c>
      <c r="E8">
        <v>4</v>
      </c>
      <c r="F8">
        <v>8</v>
      </c>
      <c r="G8">
        <v>2</v>
      </c>
      <c r="H8">
        <v>0</v>
      </c>
      <c r="I8" t="s">
        <v>17</v>
      </c>
      <c r="J8">
        <v>7</v>
      </c>
    </row>
    <row r="9" spans="1:10" x14ac:dyDescent="0.5">
      <c r="A9" t="s">
        <v>22</v>
      </c>
      <c r="B9">
        <v>26</v>
      </c>
      <c r="C9" t="s">
        <v>16</v>
      </c>
      <c r="D9">
        <v>7.4</v>
      </c>
      <c r="E9">
        <v>5</v>
      </c>
      <c r="F9">
        <v>6</v>
      </c>
      <c r="G9">
        <v>1</v>
      </c>
      <c r="H9">
        <v>4</v>
      </c>
      <c r="I9" t="s">
        <v>23</v>
      </c>
      <c r="J9">
        <v>7</v>
      </c>
    </row>
    <row r="10" spans="1:10" x14ac:dyDescent="0.5">
      <c r="A10" t="s">
        <v>24</v>
      </c>
      <c r="B10">
        <v>39</v>
      </c>
      <c r="C10" t="s">
        <v>11</v>
      </c>
      <c r="D10">
        <v>4.7</v>
      </c>
      <c r="E10">
        <v>7</v>
      </c>
      <c r="F10">
        <v>7</v>
      </c>
      <c r="G10">
        <v>6</v>
      </c>
      <c r="H10">
        <v>1</v>
      </c>
      <c r="I10" t="s">
        <v>14</v>
      </c>
      <c r="J10">
        <v>9</v>
      </c>
    </row>
    <row r="11" spans="1:10" x14ac:dyDescent="0.5">
      <c r="A11" t="s">
        <v>25</v>
      </c>
      <c r="B11">
        <v>39</v>
      </c>
      <c r="C11" t="s">
        <v>16</v>
      </c>
      <c r="D11">
        <v>6.6</v>
      </c>
      <c r="E11">
        <v>6</v>
      </c>
      <c r="F11">
        <v>8</v>
      </c>
      <c r="G11">
        <v>0</v>
      </c>
      <c r="H11">
        <v>2</v>
      </c>
      <c r="I11" t="s">
        <v>12</v>
      </c>
      <c r="J11">
        <v>7</v>
      </c>
    </row>
    <row r="12" spans="1:10" x14ac:dyDescent="0.5">
      <c r="A12" t="s">
        <v>26</v>
      </c>
      <c r="B12">
        <v>18</v>
      </c>
      <c r="C12" t="s">
        <v>16</v>
      </c>
      <c r="D12">
        <v>2.8</v>
      </c>
      <c r="E12">
        <v>7</v>
      </c>
      <c r="F12">
        <v>6</v>
      </c>
      <c r="G12">
        <v>2</v>
      </c>
      <c r="H12">
        <v>0</v>
      </c>
      <c r="I12" t="s">
        <v>23</v>
      </c>
      <c r="J12">
        <v>7</v>
      </c>
    </row>
    <row r="13" spans="1:10" x14ac:dyDescent="0.5">
      <c r="A13" t="s">
        <v>517</v>
      </c>
      <c r="B13">
        <v>37</v>
      </c>
      <c r="C13" t="s">
        <v>496</v>
      </c>
      <c r="D13">
        <v>5.4</v>
      </c>
      <c r="E13">
        <v>5</v>
      </c>
      <c r="F13">
        <v>7</v>
      </c>
      <c r="G13">
        <v>3</v>
      </c>
      <c r="H13">
        <v>2</v>
      </c>
      <c r="I13" t="s">
        <v>23</v>
      </c>
      <c r="J13">
        <v>9</v>
      </c>
    </row>
    <row r="14" spans="1:10" x14ac:dyDescent="0.5">
      <c r="A14" t="s">
        <v>27</v>
      </c>
      <c r="B14">
        <v>17</v>
      </c>
      <c r="C14" t="s">
        <v>16</v>
      </c>
      <c r="D14">
        <v>7</v>
      </c>
      <c r="E14">
        <v>7</v>
      </c>
      <c r="F14">
        <v>10</v>
      </c>
      <c r="G14">
        <v>7</v>
      </c>
      <c r="H14">
        <v>1</v>
      </c>
      <c r="I14" t="s">
        <v>14</v>
      </c>
      <c r="J14">
        <v>8</v>
      </c>
    </row>
    <row r="15" spans="1:10" x14ac:dyDescent="0.5">
      <c r="A15" t="s">
        <v>28</v>
      </c>
      <c r="B15">
        <v>39</v>
      </c>
      <c r="C15" t="s">
        <v>16</v>
      </c>
      <c r="D15">
        <v>5.7</v>
      </c>
      <c r="E15">
        <v>5</v>
      </c>
      <c r="F15">
        <v>7</v>
      </c>
      <c r="G15">
        <v>4</v>
      </c>
      <c r="H15">
        <v>0</v>
      </c>
      <c r="I15" t="s">
        <v>12</v>
      </c>
      <c r="J15">
        <v>8</v>
      </c>
    </row>
    <row r="16" spans="1:10" x14ac:dyDescent="0.5">
      <c r="A16" t="s">
        <v>29</v>
      </c>
      <c r="B16">
        <v>45</v>
      </c>
      <c r="C16" t="s">
        <v>11</v>
      </c>
      <c r="D16">
        <v>6.3</v>
      </c>
      <c r="E16">
        <v>7</v>
      </c>
      <c r="F16">
        <v>7</v>
      </c>
      <c r="G16">
        <v>4</v>
      </c>
      <c r="H16">
        <v>3</v>
      </c>
      <c r="I16" t="s">
        <v>19</v>
      </c>
      <c r="J16">
        <v>9</v>
      </c>
    </row>
    <row r="17" spans="1:10" x14ac:dyDescent="0.5">
      <c r="A17" t="s">
        <v>30</v>
      </c>
      <c r="B17">
        <v>17</v>
      </c>
      <c r="C17" t="s">
        <v>16</v>
      </c>
      <c r="D17">
        <v>5.0999999999999996</v>
      </c>
      <c r="E17">
        <v>7</v>
      </c>
      <c r="F17">
        <v>6</v>
      </c>
      <c r="G17">
        <v>2</v>
      </c>
      <c r="H17">
        <v>5</v>
      </c>
      <c r="I17" t="s">
        <v>13</v>
      </c>
      <c r="J17">
        <v>10</v>
      </c>
    </row>
    <row r="18" spans="1:10" x14ac:dyDescent="0.5">
      <c r="A18" t="s">
        <v>31</v>
      </c>
      <c r="B18">
        <v>36</v>
      </c>
      <c r="C18" t="s">
        <v>16</v>
      </c>
      <c r="D18">
        <v>7.5</v>
      </c>
      <c r="E18">
        <v>5</v>
      </c>
      <c r="F18">
        <v>8</v>
      </c>
      <c r="G18">
        <v>4</v>
      </c>
      <c r="H18">
        <v>4</v>
      </c>
      <c r="I18" t="s">
        <v>12</v>
      </c>
      <c r="J18">
        <v>7</v>
      </c>
    </row>
    <row r="19" spans="1:10" x14ac:dyDescent="0.5">
      <c r="A19" t="s">
        <v>32</v>
      </c>
      <c r="B19">
        <v>48</v>
      </c>
      <c r="C19" t="s">
        <v>11</v>
      </c>
      <c r="D19">
        <v>5.4</v>
      </c>
      <c r="E19">
        <v>6</v>
      </c>
      <c r="F19">
        <v>4</v>
      </c>
      <c r="G19">
        <v>3</v>
      </c>
      <c r="H19">
        <v>4</v>
      </c>
      <c r="I19" t="s">
        <v>17</v>
      </c>
      <c r="J19">
        <v>10</v>
      </c>
    </row>
    <row r="20" spans="1:10" x14ac:dyDescent="0.5">
      <c r="A20" t="s">
        <v>33</v>
      </c>
      <c r="B20">
        <v>27</v>
      </c>
      <c r="C20" t="s">
        <v>11</v>
      </c>
      <c r="D20">
        <v>4.7</v>
      </c>
      <c r="E20">
        <v>6</v>
      </c>
      <c r="F20">
        <v>6</v>
      </c>
      <c r="G20">
        <v>0</v>
      </c>
      <c r="H20">
        <v>2</v>
      </c>
      <c r="I20" t="s">
        <v>23</v>
      </c>
      <c r="J20">
        <v>9</v>
      </c>
    </row>
    <row r="21" spans="1:10" x14ac:dyDescent="0.5">
      <c r="A21" t="s">
        <v>34</v>
      </c>
      <c r="B21">
        <v>37</v>
      </c>
      <c r="C21" t="s">
        <v>11</v>
      </c>
      <c r="D21">
        <v>7.1</v>
      </c>
      <c r="E21">
        <v>6</v>
      </c>
      <c r="F21">
        <v>6</v>
      </c>
      <c r="G21">
        <v>5</v>
      </c>
      <c r="H21">
        <v>4</v>
      </c>
      <c r="I21" t="s">
        <v>17</v>
      </c>
      <c r="J21">
        <v>10</v>
      </c>
    </row>
    <row r="22" spans="1:10" x14ac:dyDescent="0.5">
      <c r="A22" t="s">
        <v>35</v>
      </c>
      <c r="B22">
        <v>40</v>
      </c>
      <c r="C22" t="s">
        <v>16</v>
      </c>
      <c r="D22">
        <v>3</v>
      </c>
      <c r="E22">
        <v>8</v>
      </c>
      <c r="F22">
        <v>5</v>
      </c>
      <c r="G22">
        <v>5</v>
      </c>
      <c r="H22">
        <v>4</v>
      </c>
      <c r="I22" t="s">
        <v>19</v>
      </c>
      <c r="J22">
        <v>10</v>
      </c>
    </row>
    <row r="23" spans="1:10" x14ac:dyDescent="0.5">
      <c r="A23" t="s">
        <v>516</v>
      </c>
      <c r="B23">
        <v>42</v>
      </c>
      <c r="C23" t="s">
        <v>496</v>
      </c>
      <c r="D23">
        <v>6.4</v>
      </c>
      <c r="E23">
        <v>7</v>
      </c>
      <c r="F23">
        <v>6</v>
      </c>
      <c r="G23">
        <v>5</v>
      </c>
      <c r="H23">
        <v>3</v>
      </c>
      <c r="I23" t="s">
        <v>17</v>
      </c>
      <c r="J23">
        <v>10</v>
      </c>
    </row>
    <row r="24" spans="1:10" x14ac:dyDescent="0.5">
      <c r="A24" t="s">
        <v>36</v>
      </c>
      <c r="B24">
        <v>43</v>
      </c>
      <c r="C24" t="s">
        <v>11</v>
      </c>
      <c r="D24">
        <v>3.6</v>
      </c>
      <c r="E24">
        <v>8</v>
      </c>
      <c r="F24">
        <v>5</v>
      </c>
      <c r="G24">
        <v>3</v>
      </c>
      <c r="H24">
        <v>1</v>
      </c>
      <c r="I24" t="s">
        <v>12</v>
      </c>
      <c r="J24">
        <v>9</v>
      </c>
    </row>
    <row r="25" spans="1:10" x14ac:dyDescent="0.5">
      <c r="A25" t="s">
        <v>37</v>
      </c>
      <c r="B25">
        <v>31</v>
      </c>
      <c r="C25" t="s">
        <v>16</v>
      </c>
      <c r="D25">
        <v>7.8</v>
      </c>
      <c r="E25">
        <v>5</v>
      </c>
      <c r="F25">
        <v>8</v>
      </c>
      <c r="G25">
        <v>1</v>
      </c>
      <c r="H25">
        <v>2</v>
      </c>
      <c r="I25" t="s">
        <v>17</v>
      </c>
      <c r="J25">
        <v>7</v>
      </c>
    </row>
    <row r="26" spans="1:10" x14ac:dyDescent="0.5">
      <c r="A26" t="s">
        <v>38</v>
      </c>
      <c r="B26">
        <v>30</v>
      </c>
      <c r="C26" t="s">
        <v>11</v>
      </c>
      <c r="D26">
        <v>5</v>
      </c>
      <c r="E26">
        <v>6</v>
      </c>
      <c r="F26">
        <v>6</v>
      </c>
      <c r="G26">
        <v>0</v>
      </c>
      <c r="H26">
        <v>5</v>
      </c>
      <c r="I26" t="s">
        <v>19</v>
      </c>
      <c r="J26">
        <v>8</v>
      </c>
    </row>
    <row r="27" spans="1:10" x14ac:dyDescent="0.5">
      <c r="A27" t="s">
        <v>515</v>
      </c>
      <c r="B27">
        <v>18</v>
      </c>
      <c r="C27" t="s">
        <v>496</v>
      </c>
      <c r="D27">
        <v>5.7</v>
      </c>
      <c r="E27">
        <v>6</v>
      </c>
      <c r="F27">
        <v>7</v>
      </c>
      <c r="G27">
        <v>3</v>
      </c>
      <c r="H27">
        <v>2</v>
      </c>
      <c r="I27" t="s">
        <v>19</v>
      </c>
      <c r="J27">
        <v>8</v>
      </c>
    </row>
    <row r="28" spans="1:10" x14ac:dyDescent="0.5">
      <c r="A28" t="s">
        <v>39</v>
      </c>
      <c r="B28">
        <v>22</v>
      </c>
      <c r="C28" t="s">
        <v>16</v>
      </c>
      <c r="D28">
        <v>6.2</v>
      </c>
      <c r="E28">
        <v>5</v>
      </c>
      <c r="F28">
        <v>8</v>
      </c>
      <c r="G28">
        <v>5</v>
      </c>
      <c r="H28">
        <v>0</v>
      </c>
      <c r="I28" t="s">
        <v>19</v>
      </c>
      <c r="J28">
        <v>6</v>
      </c>
    </row>
    <row r="29" spans="1:10" x14ac:dyDescent="0.5">
      <c r="A29" t="s">
        <v>40</v>
      </c>
      <c r="B29">
        <v>36</v>
      </c>
      <c r="C29" t="s">
        <v>16</v>
      </c>
      <c r="D29">
        <v>2</v>
      </c>
      <c r="E29">
        <v>8</v>
      </c>
      <c r="F29">
        <v>4</v>
      </c>
      <c r="G29">
        <v>5</v>
      </c>
      <c r="H29">
        <v>0</v>
      </c>
      <c r="I29" t="s">
        <v>12</v>
      </c>
      <c r="J29">
        <v>10</v>
      </c>
    </row>
    <row r="30" spans="1:10" x14ac:dyDescent="0.5">
      <c r="A30" t="s">
        <v>41</v>
      </c>
      <c r="B30">
        <v>24</v>
      </c>
      <c r="C30" t="s">
        <v>11</v>
      </c>
      <c r="D30">
        <v>4.3</v>
      </c>
      <c r="E30">
        <v>6</v>
      </c>
      <c r="F30">
        <v>6</v>
      </c>
      <c r="G30">
        <v>5</v>
      </c>
      <c r="H30">
        <v>2</v>
      </c>
      <c r="I30" t="s">
        <v>19</v>
      </c>
      <c r="J30">
        <v>10</v>
      </c>
    </row>
    <row r="31" spans="1:10" x14ac:dyDescent="0.5">
      <c r="A31" t="s">
        <v>42</v>
      </c>
      <c r="B31">
        <v>33</v>
      </c>
      <c r="C31" t="s">
        <v>11</v>
      </c>
      <c r="D31">
        <v>7.4</v>
      </c>
      <c r="E31">
        <v>6</v>
      </c>
      <c r="F31">
        <v>10</v>
      </c>
      <c r="G31">
        <v>3</v>
      </c>
      <c r="H31">
        <v>4</v>
      </c>
      <c r="I31" t="s">
        <v>23</v>
      </c>
      <c r="J31">
        <v>8</v>
      </c>
    </row>
    <row r="32" spans="1:10" x14ac:dyDescent="0.5">
      <c r="A32" t="s">
        <v>43</v>
      </c>
      <c r="B32">
        <v>19</v>
      </c>
      <c r="C32" t="s">
        <v>11</v>
      </c>
      <c r="D32">
        <v>7.1</v>
      </c>
      <c r="E32">
        <v>5</v>
      </c>
      <c r="F32">
        <v>8</v>
      </c>
      <c r="G32">
        <v>5</v>
      </c>
      <c r="H32">
        <v>2</v>
      </c>
      <c r="I32" t="s">
        <v>19</v>
      </c>
      <c r="J32">
        <v>9</v>
      </c>
    </row>
    <row r="33" spans="1:10" x14ac:dyDescent="0.5">
      <c r="A33" t="s">
        <v>44</v>
      </c>
      <c r="B33">
        <v>40</v>
      </c>
      <c r="C33" t="s">
        <v>11</v>
      </c>
      <c r="D33">
        <v>6</v>
      </c>
      <c r="E33">
        <v>6</v>
      </c>
      <c r="F33">
        <v>7</v>
      </c>
      <c r="G33">
        <v>5</v>
      </c>
      <c r="H33">
        <v>4</v>
      </c>
      <c r="I33" t="s">
        <v>17</v>
      </c>
      <c r="J33">
        <v>7</v>
      </c>
    </row>
    <row r="34" spans="1:10" x14ac:dyDescent="0.5">
      <c r="A34" t="s">
        <v>45</v>
      </c>
      <c r="B34">
        <v>29</v>
      </c>
      <c r="C34" t="s">
        <v>16</v>
      </c>
      <c r="D34">
        <v>3.1</v>
      </c>
      <c r="E34">
        <v>8</v>
      </c>
      <c r="F34">
        <v>4</v>
      </c>
      <c r="G34">
        <v>2</v>
      </c>
      <c r="H34">
        <v>2</v>
      </c>
      <c r="I34" t="s">
        <v>13</v>
      </c>
      <c r="J34">
        <v>10</v>
      </c>
    </row>
    <row r="35" spans="1:10" x14ac:dyDescent="0.5">
      <c r="A35" t="s">
        <v>46</v>
      </c>
      <c r="B35">
        <v>24</v>
      </c>
      <c r="C35" t="s">
        <v>16</v>
      </c>
      <c r="D35">
        <v>6.6</v>
      </c>
      <c r="E35">
        <v>6</v>
      </c>
      <c r="F35">
        <v>7</v>
      </c>
      <c r="G35">
        <v>4</v>
      </c>
      <c r="H35">
        <v>0</v>
      </c>
      <c r="I35" t="s">
        <v>17</v>
      </c>
      <c r="J35">
        <v>7</v>
      </c>
    </row>
    <row r="36" spans="1:10" x14ac:dyDescent="0.5">
      <c r="A36" t="s">
        <v>514</v>
      </c>
      <c r="B36">
        <v>41</v>
      </c>
      <c r="C36" t="s">
        <v>496</v>
      </c>
      <c r="D36">
        <v>6.8</v>
      </c>
      <c r="E36">
        <v>8</v>
      </c>
      <c r="F36">
        <v>7</v>
      </c>
      <c r="G36">
        <v>2</v>
      </c>
      <c r="H36">
        <v>2</v>
      </c>
      <c r="I36" t="s">
        <v>13</v>
      </c>
      <c r="J36">
        <v>9</v>
      </c>
    </row>
    <row r="37" spans="1:10" x14ac:dyDescent="0.5">
      <c r="A37" t="s">
        <v>513</v>
      </c>
      <c r="B37">
        <v>17</v>
      </c>
      <c r="C37" t="s">
        <v>496</v>
      </c>
      <c r="D37">
        <v>5.6</v>
      </c>
      <c r="E37">
        <v>6</v>
      </c>
      <c r="F37">
        <v>7</v>
      </c>
      <c r="G37">
        <v>4</v>
      </c>
      <c r="H37">
        <v>3</v>
      </c>
      <c r="I37" t="s">
        <v>17</v>
      </c>
      <c r="J37">
        <v>7</v>
      </c>
    </row>
    <row r="38" spans="1:10" x14ac:dyDescent="0.5">
      <c r="A38" t="s">
        <v>47</v>
      </c>
      <c r="B38">
        <v>35</v>
      </c>
      <c r="C38" t="s">
        <v>16</v>
      </c>
      <c r="D38">
        <v>7.7</v>
      </c>
      <c r="E38">
        <v>4</v>
      </c>
      <c r="F38">
        <v>8</v>
      </c>
      <c r="G38">
        <v>0</v>
      </c>
      <c r="H38">
        <v>3</v>
      </c>
      <c r="I38" t="s">
        <v>12</v>
      </c>
      <c r="J38">
        <v>8</v>
      </c>
    </row>
    <row r="39" spans="1:10" x14ac:dyDescent="0.5">
      <c r="A39" t="s">
        <v>48</v>
      </c>
      <c r="B39">
        <v>43</v>
      </c>
      <c r="C39" t="s">
        <v>16</v>
      </c>
      <c r="D39">
        <v>4.3</v>
      </c>
      <c r="E39">
        <v>8</v>
      </c>
      <c r="F39">
        <v>4</v>
      </c>
      <c r="G39">
        <v>1</v>
      </c>
      <c r="H39">
        <v>1</v>
      </c>
      <c r="I39" t="s">
        <v>17</v>
      </c>
      <c r="J39">
        <v>10</v>
      </c>
    </row>
    <row r="40" spans="1:10" x14ac:dyDescent="0.5">
      <c r="A40" t="s">
        <v>512</v>
      </c>
      <c r="B40">
        <v>22</v>
      </c>
      <c r="C40" t="s">
        <v>496</v>
      </c>
      <c r="D40">
        <v>4.5999999999999996</v>
      </c>
      <c r="E40">
        <v>4</v>
      </c>
      <c r="F40">
        <v>6</v>
      </c>
      <c r="G40">
        <v>5</v>
      </c>
      <c r="H40">
        <v>2</v>
      </c>
      <c r="I40" t="s">
        <v>12</v>
      </c>
      <c r="J40">
        <v>9</v>
      </c>
    </row>
    <row r="41" spans="1:10" x14ac:dyDescent="0.5">
      <c r="A41" t="s">
        <v>49</v>
      </c>
      <c r="B41">
        <v>23</v>
      </c>
      <c r="C41" t="s">
        <v>16</v>
      </c>
      <c r="D41">
        <v>1</v>
      </c>
      <c r="E41">
        <v>9</v>
      </c>
      <c r="F41">
        <v>5</v>
      </c>
      <c r="G41">
        <v>5</v>
      </c>
      <c r="H41">
        <v>7</v>
      </c>
      <c r="I41" t="s">
        <v>12</v>
      </c>
      <c r="J41">
        <v>10</v>
      </c>
    </row>
    <row r="42" spans="1:10" x14ac:dyDescent="0.5">
      <c r="A42" t="s">
        <v>50</v>
      </c>
      <c r="B42">
        <v>29</v>
      </c>
      <c r="C42" t="s">
        <v>11</v>
      </c>
      <c r="D42">
        <v>7.2</v>
      </c>
      <c r="E42">
        <v>5</v>
      </c>
      <c r="F42">
        <v>7</v>
      </c>
      <c r="G42">
        <v>4</v>
      </c>
      <c r="H42">
        <v>1</v>
      </c>
      <c r="I42" t="s">
        <v>19</v>
      </c>
      <c r="J42">
        <v>10</v>
      </c>
    </row>
    <row r="43" spans="1:10" x14ac:dyDescent="0.5">
      <c r="A43" t="s">
        <v>51</v>
      </c>
      <c r="B43">
        <v>32</v>
      </c>
      <c r="C43" t="s">
        <v>11</v>
      </c>
      <c r="D43">
        <v>6.1</v>
      </c>
      <c r="E43">
        <v>5</v>
      </c>
      <c r="F43">
        <v>6</v>
      </c>
      <c r="G43">
        <v>3</v>
      </c>
      <c r="H43">
        <v>3</v>
      </c>
      <c r="I43" t="s">
        <v>23</v>
      </c>
      <c r="J43">
        <v>7</v>
      </c>
    </row>
    <row r="44" spans="1:10" x14ac:dyDescent="0.5">
      <c r="A44" t="s">
        <v>52</v>
      </c>
      <c r="B44">
        <v>19</v>
      </c>
      <c r="C44" t="s">
        <v>11</v>
      </c>
      <c r="D44">
        <v>2.5</v>
      </c>
      <c r="E44">
        <v>9</v>
      </c>
      <c r="F44">
        <v>3</v>
      </c>
      <c r="G44">
        <v>0</v>
      </c>
      <c r="H44">
        <v>0</v>
      </c>
      <c r="I44" t="s">
        <v>13</v>
      </c>
      <c r="J44">
        <v>10</v>
      </c>
    </row>
    <row r="45" spans="1:10" x14ac:dyDescent="0.5">
      <c r="A45" t="s">
        <v>511</v>
      </c>
      <c r="B45">
        <v>17</v>
      </c>
      <c r="C45" t="s">
        <v>496</v>
      </c>
      <c r="D45">
        <v>2.2999999999999998</v>
      </c>
      <c r="E45">
        <v>9</v>
      </c>
      <c r="F45">
        <v>3</v>
      </c>
      <c r="G45">
        <v>3</v>
      </c>
      <c r="H45">
        <v>4</v>
      </c>
      <c r="I45" t="s">
        <v>19</v>
      </c>
      <c r="J45">
        <v>10</v>
      </c>
    </row>
    <row r="46" spans="1:10" x14ac:dyDescent="0.5">
      <c r="A46" t="s">
        <v>53</v>
      </c>
      <c r="B46">
        <v>21</v>
      </c>
      <c r="C46" t="s">
        <v>16</v>
      </c>
      <c r="D46">
        <v>3.9</v>
      </c>
      <c r="E46">
        <v>6</v>
      </c>
      <c r="F46">
        <v>6</v>
      </c>
      <c r="G46">
        <v>4</v>
      </c>
      <c r="H46">
        <v>1</v>
      </c>
      <c r="I46" t="s">
        <v>19</v>
      </c>
      <c r="J46">
        <v>8</v>
      </c>
    </row>
    <row r="47" spans="1:10" x14ac:dyDescent="0.5">
      <c r="A47" t="s">
        <v>54</v>
      </c>
      <c r="B47">
        <v>19</v>
      </c>
      <c r="C47" t="s">
        <v>11</v>
      </c>
      <c r="D47">
        <v>6.9</v>
      </c>
      <c r="E47">
        <v>5</v>
      </c>
      <c r="F47">
        <v>7</v>
      </c>
      <c r="G47">
        <v>2</v>
      </c>
      <c r="H47">
        <v>3</v>
      </c>
      <c r="I47" t="s">
        <v>12</v>
      </c>
      <c r="J47">
        <v>9</v>
      </c>
    </row>
    <row r="48" spans="1:10" x14ac:dyDescent="0.5">
      <c r="A48" t="s">
        <v>55</v>
      </c>
      <c r="B48">
        <v>44</v>
      </c>
      <c r="C48" t="s">
        <v>16</v>
      </c>
      <c r="D48">
        <v>5</v>
      </c>
      <c r="E48">
        <v>4</v>
      </c>
      <c r="F48">
        <v>7</v>
      </c>
      <c r="G48">
        <v>2</v>
      </c>
      <c r="H48">
        <v>1</v>
      </c>
      <c r="I48" t="s">
        <v>12</v>
      </c>
      <c r="J48">
        <v>8</v>
      </c>
    </row>
    <row r="49" spans="1:10" x14ac:dyDescent="0.5">
      <c r="A49" t="s">
        <v>56</v>
      </c>
      <c r="B49">
        <v>33</v>
      </c>
      <c r="C49" t="s">
        <v>16</v>
      </c>
      <c r="D49">
        <v>4.0999999999999996</v>
      </c>
      <c r="E49">
        <v>8</v>
      </c>
      <c r="F49">
        <v>7</v>
      </c>
      <c r="G49">
        <v>6</v>
      </c>
      <c r="H49">
        <v>3</v>
      </c>
      <c r="I49" t="s">
        <v>13</v>
      </c>
      <c r="J49">
        <v>9</v>
      </c>
    </row>
    <row r="50" spans="1:10" x14ac:dyDescent="0.5">
      <c r="A50" t="s">
        <v>57</v>
      </c>
      <c r="B50">
        <v>41</v>
      </c>
      <c r="C50" t="s">
        <v>11</v>
      </c>
      <c r="D50">
        <v>3.7</v>
      </c>
      <c r="E50">
        <v>8</v>
      </c>
      <c r="F50">
        <v>6</v>
      </c>
      <c r="G50">
        <v>3</v>
      </c>
      <c r="H50">
        <v>1</v>
      </c>
      <c r="I50" t="s">
        <v>17</v>
      </c>
      <c r="J50">
        <v>9</v>
      </c>
    </row>
    <row r="51" spans="1:10" x14ac:dyDescent="0.5">
      <c r="A51" t="s">
        <v>58</v>
      </c>
      <c r="B51">
        <v>49</v>
      </c>
      <c r="C51" t="s">
        <v>11</v>
      </c>
      <c r="D51">
        <v>3.6</v>
      </c>
      <c r="E51">
        <v>7</v>
      </c>
      <c r="F51">
        <v>5</v>
      </c>
      <c r="G51">
        <v>4</v>
      </c>
      <c r="H51">
        <v>1</v>
      </c>
      <c r="I51" t="s">
        <v>17</v>
      </c>
      <c r="J51">
        <v>9</v>
      </c>
    </row>
    <row r="52" spans="1:10" x14ac:dyDescent="0.5">
      <c r="A52" t="s">
        <v>59</v>
      </c>
      <c r="B52">
        <v>25</v>
      </c>
      <c r="C52" t="s">
        <v>16</v>
      </c>
      <c r="D52">
        <v>2</v>
      </c>
      <c r="E52">
        <v>9</v>
      </c>
      <c r="F52">
        <v>4</v>
      </c>
      <c r="G52">
        <v>5</v>
      </c>
      <c r="H52">
        <v>3</v>
      </c>
      <c r="I52" t="s">
        <v>19</v>
      </c>
      <c r="J52">
        <v>10</v>
      </c>
    </row>
    <row r="53" spans="1:10" x14ac:dyDescent="0.5">
      <c r="A53" t="s">
        <v>60</v>
      </c>
      <c r="B53">
        <v>29</v>
      </c>
      <c r="C53" t="s">
        <v>16</v>
      </c>
      <c r="D53">
        <v>3.3</v>
      </c>
      <c r="E53">
        <v>7</v>
      </c>
      <c r="F53">
        <v>5</v>
      </c>
      <c r="G53">
        <v>1</v>
      </c>
      <c r="H53">
        <v>2</v>
      </c>
      <c r="I53" t="s">
        <v>14</v>
      </c>
      <c r="J53">
        <v>10</v>
      </c>
    </row>
    <row r="54" spans="1:10" x14ac:dyDescent="0.5">
      <c r="A54" t="s">
        <v>61</v>
      </c>
      <c r="B54">
        <v>46</v>
      </c>
      <c r="C54" t="s">
        <v>16</v>
      </c>
      <c r="D54">
        <v>3.6</v>
      </c>
      <c r="E54">
        <v>7</v>
      </c>
      <c r="F54">
        <v>5</v>
      </c>
      <c r="G54">
        <v>3</v>
      </c>
      <c r="H54">
        <v>3</v>
      </c>
      <c r="I54" t="s">
        <v>14</v>
      </c>
      <c r="J54">
        <v>10</v>
      </c>
    </row>
    <row r="55" spans="1:10" x14ac:dyDescent="0.5">
      <c r="A55" t="s">
        <v>62</v>
      </c>
      <c r="B55">
        <v>30</v>
      </c>
      <c r="C55" t="s">
        <v>16</v>
      </c>
      <c r="D55">
        <v>6.7</v>
      </c>
      <c r="E55">
        <v>6</v>
      </c>
      <c r="F55">
        <v>8</v>
      </c>
      <c r="G55">
        <v>6</v>
      </c>
      <c r="H55">
        <v>2</v>
      </c>
      <c r="I55" t="s">
        <v>17</v>
      </c>
      <c r="J55">
        <v>7</v>
      </c>
    </row>
    <row r="56" spans="1:10" x14ac:dyDescent="0.5">
      <c r="A56" t="s">
        <v>63</v>
      </c>
      <c r="B56">
        <v>23</v>
      </c>
      <c r="C56" t="s">
        <v>16</v>
      </c>
      <c r="D56">
        <v>5.2</v>
      </c>
      <c r="E56">
        <v>6</v>
      </c>
      <c r="F56">
        <v>6</v>
      </c>
      <c r="G56">
        <v>7</v>
      </c>
      <c r="H56">
        <v>3</v>
      </c>
      <c r="I56" t="s">
        <v>14</v>
      </c>
      <c r="J56">
        <v>8</v>
      </c>
    </row>
    <row r="57" spans="1:10" x14ac:dyDescent="0.5">
      <c r="A57" t="s">
        <v>64</v>
      </c>
      <c r="B57">
        <v>29</v>
      </c>
      <c r="C57" t="s">
        <v>16</v>
      </c>
      <c r="D57">
        <v>4</v>
      </c>
      <c r="E57">
        <v>7</v>
      </c>
      <c r="F57">
        <v>3</v>
      </c>
      <c r="G57">
        <v>3</v>
      </c>
      <c r="H57">
        <v>3</v>
      </c>
      <c r="I57" t="s">
        <v>17</v>
      </c>
      <c r="J57">
        <v>10</v>
      </c>
    </row>
    <row r="58" spans="1:10" x14ac:dyDescent="0.5">
      <c r="A58" t="s">
        <v>65</v>
      </c>
      <c r="B58">
        <v>38</v>
      </c>
      <c r="C58" t="s">
        <v>16</v>
      </c>
      <c r="D58">
        <v>9.6999999999999993</v>
      </c>
      <c r="E58">
        <v>3</v>
      </c>
      <c r="F58">
        <v>9</v>
      </c>
      <c r="G58">
        <v>3</v>
      </c>
      <c r="H58">
        <v>2</v>
      </c>
      <c r="I58" t="s">
        <v>12</v>
      </c>
      <c r="J58">
        <v>4</v>
      </c>
    </row>
    <row r="59" spans="1:10" x14ac:dyDescent="0.5">
      <c r="A59" t="s">
        <v>66</v>
      </c>
      <c r="B59">
        <v>36</v>
      </c>
      <c r="C59" t="s">
        <v>16</v>
      </c>
      <c r="D59">
        <v>4.3</v>
      </c>
      <c r="E59">
        <v>7</v>
      </c>
      <c r="F59">
        <v>6</v>
      </c>
      <c r="G59">
        <v>4</v>
      </c>
      <c r="H59">
        <v>1</v>
      </c>
      <c r="I59" t="s">
        <v>19</v>
      </c>
      <c r="J59">
        <v>9</v>
      </c>
    </row>
    <row r="60" spans="1:10" x14ac:dyDescent="0.5">
      <c r="A60" t="s">
        <v>67</v>
      </c>
      <c r="B60">
        <v>31</v>
      </c>
      <c r="C60" t="s">
        <v>11</v>
      </c>
      <c r="D60">
        <v>7.6</v>
      </c>
      <c r="E60">
        <v>5</v>
      </c>
      <c r="F60">
        <v>10</v>
      </c>
      <c r="G60">
        <v>3</v>
      </c>
      <c r="H60">
        <v>2</v>
      </c>
      <c r="I60" t="s">
        <v>23</v>
      </c>
      <c r="J60">
        <v>6</v>
      </c>
    </row>
    <row r="61" spans="1:10" x14ac:dyDescent="0.5">
      <c r="A61" t="s">
        <v>68</v>
      </c>
      <c r="B61">
        <v>33</v>
      </c>
      <c r="C61" t="s">
        <v>11</v>
      </c>
      <c r="D61">
        <v>8.4</v>
      </c>
      <c r="E61">
        <v>4</v>
      </c>
      <c r="F61">
        <v>8</v>
      </c>
      <c r="G61">
        <v>6</v>
      </c>
      <c r="H61">
        <v>4</v>
      </c>
      <c r="I61" t="s">
        <v>19</v>
      </c>
      <c r="J61">
        <v>7</v>
      </c>
    </row>
    <row r="62" spans="1:10" x14ac:dyDescent="0.5">
      <c r="A62" t="s">
        <v>69</v>
      </c>
      <c r="B62">
        <v>39</v>
      </c>
      <c r="C62" t="s">
        <v>11</v>
      </c>
      <c r="D62">
        <v>2.7</v>
      </c>
      <c r="E62">
        <v>9</v>
      </c>
      <c r="F62">
        <v>5</v>
      </c>
      <c r="G62">
        <v>1</v>
      </c>
      <c r="H62">
        <v>3</v>
      </c>
      <c r="I62" t="s">
        <v>17</v>
      </c>
      <c r="J62">
        <v>10</v>
      </c>
    </row>
    <row r="63" spans="1:10" x14ac:dyDescent="0.5">
      <c r="A63" t="s">
        <v>70</v>
      </c>
      <c r="B63">
        <v>41</v>
      </c>
      <c r="C63" t="s">
        <v>16</v>
      </c>
      <c r="D63">
        <v>5.6</v>
      </c>
      <c r="E63">
        <v>6</v>
      </c>
      <c r="F63">
        <v>7</v>
      </c>
      <c r="G63">
        <v>2</v>
      </c>
      <c r="H63">
        <v>1</v>
      </c>
      <c r="I63" t="s">
        <v>17</v>
      </c>
      <c r="J63">
        <v>9</v>
      </c>
    </row>
    <row r="64" spans="1:10" x14ac:dyDescent="0.5">
      <c r="A64" t="s">
        <v>71</v>
      </c>
      <c r="B64">
        <v>40</v>
      </c>
      <c r="C64" t="s">
        <v>16</v>
      </c>
      <c r="D64">
        <v>4.5999999999999996</v>
      </c>
      <c r="E64">
        <v>7</v>
      </c>
      <c r="F64">
        <v>7</v>
      </c>
      <c r="G64">
        <v>1</v>
      </c>
      <c r="H64">
        <v>3</v>
      </c>
      <c r="I64" t="s">
        <v>19</v>
      </c>
      <c r="J64">
        <v>10</v>
      </c>
    </row>
    <row r="65" spans="1:10" x14ac:dyDescent="0.5">
      <c r="A65" t="s">
        <v>72</v>
      </c>
      <c r="B65">
        <v>44</v>
      </c>
      <c r="C65" t="s">
        <v>16</v>
      </c>
      <c r="D65">
        <v>4.4000000000000004</v>
      </c>
      <c r="E65">
        <v>6</v>
      </c>
      <c r="F65">
        <v>7</v>
      </c>
      <c r="G65">
        <v>1</v>
      </c>
      <c r="H65">
        <v>3</v>
      </c>
      <c r="I65" t="s">
        <v>13</v>
      </c>
      <c r="J65">
        <v>9</v>
      </c>
    </row>
    <row r="66" spans="1:10" x14ac:dyDescent="0.5">
      <c r="A66" t="s">
        <v>73</v>
      </c>
      <c r="B66">
        <v>30</v>
      </c>
      <c r="C66" t="s">
        <v>11</v>
      </c>
      <c r="D66">
        <v>6.5</v>
      </c>
      <c r="E66">
        <v>4</v>
      </c>
      <c r="F66">
        <v>9</v>
      </c>
      <c r="G66">
        <v>4</v>
      </c>
      <c r="H66">
        <v>3</v>
      </c>
      <c r="I66" t="s">
        <v>17</v>
      </c>
      <c r="J66">
        <v>5</v>
      </c>
    </row>
    <row r="67" spans="1:10" x14ac:dyDescent="0.5">
      <c r="A67" t="s">
        <v>74</v>
      </c>
      <c r="B67">
        <v>16</v>
      </c>
      <c r="C67" t="s">
        <v>11</v>
      </c>
      <c r="D67">
        <v>4.4000000000000004</v>
      </c>
      <c r="E67">
        <v>8</v>
      </c>
      <c r="F67">
        <v>4</v>
      </c>
      <c r="G67">
        <v>5</v>
      </c>
      <c r="H67">
        <v>1</v>
      </c>
      <c r="I67" t="s">
        <v>14</v>
      </c>
      <c r="J67">
        <v>10</v>
      </c>
    </row>
    <row r="68" spans="1:10" x14ac:dyDescent="0.5">
      <c r="A68" t="s">
        <v>75</v>
      </c>
      <c r="B68">
        <v>40</v>
      </c>
      <c r="C68" t="s">
        <v>11</v>
      </c>
      <c r="D68">
        <v>4.5999999999999996</v>
      </c>
      <c r="E68">
        <v>7</v>
      </c>
      <c r="F68">
        <v>6</v>
      </c>
      <c r="G68">
        <v>2</v>
      </c>
      <c r="H68">
        <v>1</v>
      </c>
      <c r="I68" t="s">
        <v>14</v>
      </c>
      <c r="J68">
        <v>10</v>
      </c>
    </row>
    <row r="69" spans="1:10" x14ac:dyDescent="0.5">
      <c r="A69" t="s">
        <v>76</v>
      </c>
      <c r="B69">
        <v>22</v>
      </c>
      <c r="C69" t="s">
        <v>11</v>
      </c>
      <c r="D69">
        <v>5.2</v>
      </c>
      <c r="E69">
        <v>9</v>
      </c>
      <c r="F69">
        <v>7</v>
      </c>
      <c r="G69">
        <v>5</v>
      </c>
      <c r="H69">
        <v>1</v>
      </c>
      <c r="I69" t="s">
        <v>17</v>
      </c>
      <c r="J69">
        <v>10</v>
      </c>
    </row>
    <row r="70" spans="1:10" x14ac:dyDescent="0.5">
      <c r="A70" t="s">
        <v>77</v>
      </c>
      <c r="B70">
        <v>24</v>
      </c>
      <c r="C70" t="s">
        <v>16</v>
      </c>
      <c r="D70">
        <v>4.8</v>
      </c>
      <c r="E70">
        <v>6</v>
      </c>
      <c r="F70">
        <v>7</v>
      </c>
      <c r="G70">
        <v>5</v>
      </c>
      <c r="H70">
        <v>2</v>
      </c>
      <c r="I70" t="s">
        <v>17</v>
      </c>
      <c r="J70">
        <v>7</v>
      </c>
    </row>
    <row r="71" spans="1:10" x14ac:dyDescent="0.5">
      <c r="A71" t="s">
        <v>78</v>
      </c>
      <c r="B71">
        <v>39</v>
      </c>
      <c r="C71" t="s">
        <v>11</v>
      </c>
      <c r="D71">
        <v>3.4</v>
      </c>
      <c r="E71">
        <v>8</v>
      </c>
      <c r="F71">
        <v>6</v>
      </c>
      <c r="G71">
        <v>7</v>
      </c>
      <c r="H71">
        <v>3</v>
      </c>
      <c r="I71" t="s">
        <v>13</v>
      </c>
      <c r="J71">
        <v>10</v>
      </c>
    </row>
    <row r="72" spans="1:10" x14ac:dyDescent="0.5">
      <c r="A72" t="s">
        <v>79</v>
      </c>
      <c r="B72">
        <v>16</v>
      </c>
      <c r="C72" t="s">
        <v>11</v>
      </c>
      <c r="D72">
        <v>6.9</v>
      </c>
      <c r="E72">
        <v>5</v>
      </c>
      <c r="F72">
        <v>8</v>
      </c>
      <c r="G72">
        <v>3</v>
      </c>
      <c r="H72">
        <v>3</v>
      </c>
      <c r="I72" t="s">
        <v>14</v>
      </c>
      <c r="J72">
        <v>5</v>
      </c>
    </row>
    <row r="73" spans="1:10" x14ac:dyDescent="0.5">
      <c r="A73" t="s">
        <v>80</v>
      </c>
      <c r="B73">
        <v>23</v>
      </c>
      <c r="C73" t="s">
        <v>16</v>
      </c>
      <c r="D73">
        <v>7.4</v>
      </c>
      <c r="E73">
        <v>6</v>
      </c>
      <c r="F73">
        <v>7</v>
      </c>
      <c r="G73">
        <v>2</v>
      </c>
      <c r="H73">
        <v>3</v>
      </c>
      <c r="I73" t="s">
        <v>17</v>
      </c>
      <c r="J73">
        <v>8</v>
      </c>
    </row>
    <row r="74" spans="1:10" x14ac:dyDescent="0.5">
      <c r="A74" t="s">
        <v>81</v>
      </c>
      <c r="B74">
        <v>39</v>
      </c>
      <c r="C74" t="s">
        <v>11</v>
      </c>
      <c r="D74">
        <v>6.1</v>
      </c>
      <c r="E74">
        <v>5</v>
      </c>
      <c r="F74">
        <v>5</v>
      </c>
      <c r="G74">
        <v>1</v>
      </c>
      <c r="H74">
        <v>5</v>
      </c>
      <c r="I74" t="s">
        <v>17</v>
      </c>
      <c r="J74">
        <v>10</v>
      </c>
    </row>
    <row r="75" spans="1:10" x14ac:dyDescent="0.5">
      <c r="A75" t="s">
        <v>82</v>
      </c>
      <c r="B75">
        <v>26</v>
      </c>
      <c r="C75" t="s">
        <v>16</v>
      </c>
      <c r="D75">
        <v>4.8</v>
      </c>
      <c r="E75">
        <v>6</v>
      </c>
      <c r="F75">
        <v>6</v>
      </c>
      <c r="G75">
        <v>1</v>
      </c>
      <c r="H75">
        <v>4</v>
      </c>
      <c r="I75" t="s">
        <v>13</v>
      </c>
      <c r="J75">
        <v>8</v>
      </c>
    </row>
    <row r="76" spans="1:10" x14ac:dyDescent="0.5">
      <c r="A76" t="s">
        <v>83</v>
      </c>
      <c r="B76">
        <v>32</v>
      </c>
      <c r="C76" t="s">
        <v>16</v>
      </c>
      <c r="D76">
        <v>4.2</v>
      </c>
      <c r="E76">
        <v>8</v>
      </c>
      <c r="F76">
        <v>8</v>
      </c>
      <c r="G76">
        <v>5</v>
      </c>
      <c r="H76">
        <v>2</v>
      </c>
      <c r="I76" t="s">
        <v>13</v>
      </c>
      <c r="J76">
        <v>8</v>
      </c>
    </row>
    <row r="77" spans="1:10" x14ac:dyDescent="0.5">
      <c r="A77" t="s">
        <v>84</v>
      </c>
      <c r="B77">
        <v>23</v>
      </c>
      <c r="C77" t="s">
        <v>11</v>
      </c>
      <c r="D77">
        <v>4.2</v>
      </c>
      <c r="E77">
        <v>7</v>
      </c>
      <c r="F77">
        <v>5</v>
      </c>
      <c r="G77">
        <v>0</v>
      </c>
      <c r="H77">
        <v>1</v>
      </c>
      <c r="I77" t="s">
        <v>19</v>
      </c>
      <c r="J77">
        <v>10</v>
      </c>
    </row>
    <row r="78" spans="1:10" x14ac:dyDescent="0.5">
      <c r="A78" t="s">
        <v>85</v>
      </c>
      <c r="B78">
        <v>48</v>
      </c>
      <c r="C78" t="s">
        <v>16</v>
      </c>
      <c r="D78">
        <v>9.6999999999999993</v>
      </c>
      <c r="E78">
        <v>4</v>
      </c>
      <c r="F78">
        <v>8</v>
      </c>
      <c r="G78">
        <v>5</v>
      </c>
      <c r="H78">
        <v>1</v>
      </c>
      <c r="I78" t="s">
        <v>13</v>
      </c>
      <c r="J78">
        <v>5</v>
      </c>
    </row>
    <row r="79" spans="1:10" x14ac:dyDescent="0.5">
      <c r="A79" t="s">
        <v>86</v>
      </c>
      <c r="B79">
        <v>20</v>
      </c>
      <c r="C79" t="s">
        <v>16</v>
      </c>
      <c r="D79">
        <v>7.2</v>
      </c>
      <c r="E79">
        <v>6</v>
      </c>
      <c r="F79">
        <v>9</v>
      </c>
      <c r="G79">
        <v>1</v>
      </c>
      <c r="H79">
        <v>2</v>
      </c>
      <c r="I79" t="s">
        <v>23</v>
      </c>
      <c r="J79">
        <v>6</v>
      </c>
    </row>
    <row r="80" spans="1:10" x14ac:dyDescent="0.5">
      <c r="A80" t="s">
        <v>510</v>
      </c>
      <c r="B80">
        <v>43</v>
      </c>
      <c r="C80" t="s">
        <v>496</v>
      </c>
      <c r="D80">
        <v>4</v>
      </c>
      <c r="E80">
        <v>7</v>
      </c>
      <c r="F80">
        <v>7</v>
      </c>
      <c r="G80">
        <v>2</v>
      </c>
      <c r="H80">
        <v>4</v>
      </c>
      <c r="I80" t="s">
        <v>14</v>
      </c>
      <c r="J80">
        <v>9</v>
      </c>
    </row>
    <row r="81" spans="1:10" x14ac:dyDescent="0.5">
      <c r="A81" t="s">
        <v>87</v>
      </c>
      <c r="B81">
        <v>22</v>
      </c>
      <c r="C81" t="s">
        <v>11</v>
      </c>
      <c r="D81">
        <v>5.8</v>
      </c>
      <c r="E81">
        <v>6</v>
      </c>
      <c r="F81">
        <v>8</v>
      </c>
      <c r="G81">
        <v>3</v>
      </c>
      <c r="H81">
        <v>2</v>
      </c>
      <c r="I81" t="s">
        <v>19</v>
      </c>
      <c r="J81">
        <v>7</v>
      </c>
    </row>
    <row r="82" spans="1:10" x14ac:dyDescent="0.5">
      <c r="A82" t="s">
        <v>88</v>
      </c>
      <c r="B82">
        <v>24</v>
      </c>
      <c r="C82" t="s">
        <v>16</v>
      </c>
      <c r="D82">
        <v>4.8</v>
      </c>
      <c r="E82">
        <v>6</v>
      </c>
      <c r="F82">
        <v>7</v>
      </c>
      <c r="G82">
        <v>2</v>
      </c>
      <c r="H82">
        <v>2</v>
      </c>
      <c r="I82" t="s">
        <v>23</v>
      </c>
      <c r="J82">
        <v>8</v>
      </c>
    </row>
    <row r="83" spans="1:10" x14ac:dyDescent="0.5">
      <c r="A83" t="s">
        <v>89</v>
      </c>
      <c r="B83">
        <v>23</v>
      </c>
      <c r="C83" t="s">
        <v>16</v>
      </c>
      <c r="D83">
        <v>6.6</v>
      </c>
      <c r="E83">
        <v>6</v>
      </c>
      <c r="F83">
        <v>8</v>
      </c>
      <c r="G83">
        <v>5</v>
      </c>
      <c r="H83">
        <v>1</v>
      </c>
      <c r="I83" t="s">
        <v>17</v>
      </c>
      <c r="J83">
        <v>8</v>
      </c>
    </row>
    <row r="84" spans="1:10" x14ac:dyDescent="0.5">
      <c r="A84" t="s">
        <v>90</v>
      </c>
      <c r="B84">
        <v>27</v>
      </c>
      <c r="C84" t="s">
        <v>11</v>
      </c>
      <c r="D84">
        <v>6.5</v>
      </c>
      <c r="E84">
        <v>7</v>
      </c>
      <c r="F84">
        <v>9</v>
      </c>
      <c r="G84">
        <v>7</v>
      </c>
      <c r="H84">
        <v>2</v>
      </c>
      <c r="I84" t="s">
        <v>17</v>
      </c>
      <c r="J84">
        <v>8</v>
      </c>
    </row>
    <row r="85" spans="1:10" x14ac:dyDescent="0.5">
      <c r="A85" t="s">
        <v>91</v>
      </c>
      <c r="B85">
        <v>49</v>
      </c>
      <c r="C85" t="s">
        <v>11</v>
      </c>
      <c r="D85">
        <v>7.5</v>
      </c>
      <c r="E85">
        <v>4</v>
      </c>
      <c r="F85">
        <v>7</v>
      </c>
      <c r="G85">
        <v>2</v>
      </c>
      <c r="H85">
        <v>4</v>
      </c>
      <c r="I85" t="s">
        <v>19</v>
      </c>
      <c r="J85">
        <v>8</v>
      </c>
    </row>
    <row r="86" spans="1:10" x14ac:dyDescent="0.5">
      <c r="A86" t="s">
        <v>509</v>
      </c>
      <c r="B86">
        <v>48</v>
      </c>
      <c r="C86" t="s">
        <v>496</v>
      </c>
      <c r="D86">
        <v>4</v>
      </c>
      <c r="E86">
        <v>7</v>
      </c>
      <c r="F86">
        <v>5</v>
      </c>
      <c r="G86">
        <v>2</v>
      </c>
      <c r="H86">
        <v>5</v>
      </c>
      <c r="I86" t="s">
        <v>13</v>
      </c>
      <c r="J86">
        <v>10</v>
      </c>
    </row>
    <row r="87" spans="1:10" x14ac:dyDescent="0.5">
      <c r="A87" t="s">
        <v>92</v>
      </c>
      <c r="B87">
        <v>38</v>
      </c>
      <c r="C87" t="s">
        <v>16</v>
      </c>
      <c r="D87">
        <v>5.7</v>
      </c>
      <c r="E87">
        <v>5</v>
      </c>
      <c r="F87">
        <v>6</v>
      </c>
      <c r="G87">
        <v>3</v>
      </c>
      <c r="H87">
        <v>2</v>
      </c>
      <c r="I87" t="s">
        <v>17</v>
      </c>
      <c r="J87">
        <v>9</v>
      </c>
    </row>
    <row r="88" spans="1:10" x14ac:dyDescent="0.5">
      <c r="A88" t="s">
        <v>93</v>
      </c>
      <c r="B88">
        <v>39</v>
      </c>
      <c r="C88" t="s">
        <v>11</v>
      </c>
      <c r="D88">
        <v>2.4</v>
      </c>
      <c r="E88">
        <v>7</v>
      </c>
      <c r="F88">
        <v>4</v>
      </c>
      <c r="G88">
        <v>4</v>
      </c>
      <c r="H88">
        <v>2</v>
      </c>
      <c r="I88" t="s">
        <v>12</v>
      </c>
      <c r="J88">
        <v>10</v>
      </c>
    </row>
    <row r="89" spans="1:10" x14ac:dyDescent="0.5">
      <c r="A89" t="s">
        <v>94</v>
      </c>
      <c r="B89">
        <v>37</v>
      </c>
      <c r="C89" t="s">
        <v>16</v>
      </c>
      <c r="D89">
        <v>3.2</v>
      </c>
      <c r="E89">
        <v>8</v>
      </c>
      <c r="F89">
        <v>7</v>
      </c>
      <c r="G89">
        <v>3</v>
      </c>
      <c r="H89">
        <v>1</v>
      </c>
      <c r="I89" t="s">
        <v>19</v>
      </c>
      <c r="J89">
        <v>10</v>
      </c>
    </row>
    <row r="90" spans="1:10" x14ac:dyDescent="0.5">
      <c r="A90" t="s">
        <v>95</v>
      </c>
      <c r="B90">
        <v>42</v>
      </c>
      <c r="C90" t="s">
        <v>11</v>
      </c>
      <c r="D90">
        <v>7.1</v>
      </c>
      <c r="E90">
        <v>3</v>
      </c>
      <c r="F90">
        <v>8</v>
      </c>
      <c r="G90">
        <v>6</v>
      </c>
      <c r="H90">
        <v>5</v>
      </c>
      <c r="I90" t="s">
        <v>23</v>
      </c>
      <c r="J90">
        <v>6</v>
      </c>
    </row>
    <row r="91" spans="1:10" x14ac:dyDescent="0.5">
      <c r="A91" t="s">
        <v>96</v>
      </c>
      <c r="B91">
        <v>16</v>
      </c>
      <c r="C91" t="s">
        <v>11</v>
      </c>
      <c r="D91">
        <v>3.8</v>
      </c>
      <c r="E91">
        <v>10</v>
      </c>
      <c r="F91">
        <v>6</v>
      </c>
      <c r="G91">
        <v>5</v>
      </c>
      <c r="H91">
        <v>0</v>
      </c>
      <c r="I91" t="s">
        <v>19</v>
      </c>
      <c r="J91">
        <v>10</v>
      </c>
    </row>
    <row r="92" spans="1:10" x14ac:dyDescent="0.5">
      <c r="A92" t="s">
        <v>97</v>
      </c>
      <c r="B92">
        <v>29</v>
      </c>
      <c r="C92" t="s">
        <v>11</v>
      </c>
      <c r="D92">
        <v>4</v>
      </c>
      <c r="E92">
        <v>6</v>
      </c>
      <c r="F92">
        <v>4</v>
      </c>
      <c r="G92">
        <v>1</v>
      </c>
      <c r="H92">
        <v>4</v>
      </c>
      <c r="I92" t="s">
        <v>14</v>
      </c>
      <c r="J92">
        <v>9</v>
      </c>
    </row>
    <row r="93" spans="1:10" x14ac:dyDescent="0.5">
      <c r="A93" t="s">
        <v>98</v>
      </c>
      <c r="B93">
        <v>18</v>
      </c>
      <c r="C93" t="s">
        <v>11</v>
      </c>
      <c r="D93">
        <v>5.5</v>
      </c>
      <c r="E93">
        <v>6</v>
      </c>
      <c r="F93">
        <v>6</v>
      </c>
      <c r="G93">
        <v>4</v>
      </c>
      <c r="H93">
        <v>2</v>
      </c>
      <c r="I93" t="s">
        <v>13</v>
      </c>
      <c r="J93">
        <v>9</v>
      </c>
    </row>
    <row r="94" spans="1:10" x14ac:dyDescent="0.5">
      <c r="A94" t="s">
        <v>99</v>
      </c>
      <c r="B94">
        <v>16</v>
      </c>
      <c r="C94" t="s">
        <v>11</v>
      </c>
      <c r="D94">
        <v>6.8</v>
      </c>
      <c r="E94">
        <v>7</v>
      </c>
      <c r="F94">
        <v>6</v>
      </c>
      <c r="G94">
        <v>6</v>
      </c>
      <c r="H94">
        <v>2</v>
      </c>
      <c r="I94" t="s">
        <v>13</v>
      </c>
      <c r="J94">
        <v>9</v>
      </c>
    </row>
    <row r="95" spans="1:10" x14ac:dyDescent="0.5">
      <c r="A95" t="s">
        <v>100</v>
      </c>
      <c r="B95">
        <v>20</v>
      </c>
      <c r="C95" t="s">
        <v>11</v>
      </c>
      <c r="D95">
        <v>3.6</v>
      </c>
      <c r="E95">
        <v>7</v>
      </c>
      <c r="F95">
        <v>7</v>
      </c>
      <c r="G95">
        <v>2</v>
      </c>
      <c r="H95">
        <v>1</v>
      </c>
      <c r="I95" t="s">
        <v>19</v>
      </c>
      <c r="J95">
        <v>8</v>
      </c>
    </row>
    <row r="96" spans="1:10" x14ac:dyDescent="0.5">
      <c r="A96" t="s">
        <v>101</v>
      </c>
      <c r="B96">
        <v>41</v>
      </c>
      <c r="C96" t="s">
        <v>16</v>
      </c>
      <c r="D96">
        <v>1</v>
      </c>
      <c r="E96">
        <v>7</v>
      </c>
      <c r="F96">
        <v>5</v>
      </c>
      <c r="G96">
        <v>2</v>
      </c>
      <c r="H96">
        <v>6</v>
      </c>
      <c r="I96" t="s">
        <v>17</v>
      </c>
      <c r="J96">
        <v>10</v>
      </c>
    </row>
    <row r="97" spans="1:10" x14ac:dyDescent="0.5">
      <c r="A97" t="s">
        <v>102</v>
      </c>
      <c r="B97">
        <v>29</v>
      </c>
      <c r="C97" t="s">
        <v>11</v>
      </c>
      <c r="D97">
        <v>3.9</v>
      </c>
      <c r="E97">
        <v>7</v>
      </c>
      <c r="F97">
        <v>6</v>
      </c>
      <c r="G97">
        <v>2</v>
      </c>
      <c r="H97">
        <v>3</v>
      </c>
      <c r="I97" t="s">
        <v>17</v>
      </c>
      <c r="J97">
        <v>10</v>
      </c>
    </row>
    <row r="98" spans="1:10" x14ac:dyDescent="0.5">
      <c r="A98" t="s">
        <v>103</v>
      </c>
      <c r="B98">
        <v>42</v>
      </c>
      <c r="C98" t="s">
        <v>11</v>
      </c>
      <c r="D98">
        <v>7.7</v>
      </c>
      <c r="E98">
        <v>4</v>
      </c>
      <c r="F98">
        <v>7</v>
      </c>
      <c r="G98">
        <v>2</v>
      </c>
      <c r="H98">
        <v>3</v>
      </c>
      <c r="I98" t="s">
        <v>12</v>
      </c>
      <c r="J98">
        <v>8</v>
      </c>
    </row>
    <row r="99" spans="1:10" x14ac:dyDescent="0.5">
      <c r="A99" t="s">
        <v>104</v>
      </c>
      <c r="B99">
        <v>24</v>
      </c>
      <c r="C99" t="s">
        <v>16</v>
      </c>
      <c r="D99">
        <v>6.1</v>
      </c>
      <c r="E99">
        <v>4</v>
      </c>
      <c r="F99">
        <v>9</v>
      </c>
      <c r="G99">
        <v>0</v>
      </c>
      <c r="H99">
        <v>4</v>
      </c>
      <c r="I99" t="s">
        <v>12</v>
      </c>
      <c r="J99">
        <v>6</v>
      </c>
    </row>
    <row r="100" spans="1:10" x14ac:dyDescent="0.5">
      <c r="A100" t="s">
        <v>105</v>
      </c>
      <c r="B100">
        <v>30</v>
      </c>
      <c r="C100" t="s">
        <v>16</v>
      </c>
      <c r="D100">
        <v>7.9</v>
      </c>
      <c r="E100">
        <v>5</v>
      </c>
      <c r="F100">
        <v>8</v>
      </c>
      <c r="G100">
        <v>0</v>
      </c>
      <c r="H100">
        <v>2</v>
      </c>
      <c r="I100" t="s">
        <v>13</v>
      </c>
      <c r="J100">
        <v>8</v>
      </c>
    </row>
    <row r="101" spans="1:10" x14ac:dyDescent="0.5">
      <c r="A101" t="s">
        <v>106</v>
      </c>
      <c r="B101">
        <v>30</v>
      </c>
      <c r="C101" t="s">
        <v>16</v>
      </c>
      <c r="D101">
        <v>3.5</v>
      </c>
      <c r="E101">
        <v>8</v>
      </c>
      <c r="F101">
        <v>4</v>
      </c>
      <c r="G101">
        <v>3</v>
      </c>
      <c r="H101">
        <v>3</v>
      </c>
      <c r="I101" t="s">
        <v>12</v>
      </c>
      <c r="J101">
        <v>10</v>
      </c>
    </row>
    <row r="102" spans="1:10" x14ac:dyDescent="0.5">
      <c r="A102" t="s">
        <v>107</v>
      </c>
      <c r="B102">
        <v>41</v>
      </c>
      <c r="C102" t="s">
        <v>11</v>
      </c>
      <c r="D102">
        <v>2.5</v>
      </c>
      <c r="E102">
        <v>9</v>
      </c>
      <c r="F102">
        <v>4</v>
      </c>
      <c r="G102">
        <v>6</v>
      </c>
      <c r="H102">
        <v>3</v>
      </c>
      <c r="I102" t="s">
        <v>23</v>
      </c>
      <c r="J102">
        <v>10</v>
      </c>
    </row>
    <row r="103" spans="1:10" x14ac:dyDescent="0.5">
      <c r="A103" t="s">
        <v>108</v>
      </c>
      <c r="B103">
        <v>28</v>
      </c>
      <c r="C103" t="s">
        <v>11</v>
      </c>
      <c r="D103">
        <v>6.3</v>
      </c>
      <c r="E103">
        <v>5</v>
      </c>
      <c r="F103">
        <v>7</v>
      </c>
      <c r="G103">
        <v>2</v>
      </c>
      <c r="H103">
        <v>2</v>
      </c>
      <c r="I103" t="s">
        <v>12</v>
      </c>
      <c r="J103">
        <v>7</v>
      </c>
    </row>
    <row r="104" spans="1:10" x14ac:dyDescent="0.5">
      <c r="A104" t="s">
        <v>109</v>
      </c>
      <c r="B104">
        <v>47</v>
      </c>
      <c r="C104" t="s">
        <v>11</v>
      </c>
      <c r="D104">
        <v>5.9</v>
      </c>
      <c r="E104">
        <v>4</v>
      </c>
      <c r="F104">
        <v>7</v>
      </c>
      <c r="G104">
        <v>2</v>
      </c>
      <c r="H104">
        <v>4</v>
      </c>
      <c r="I104" t="s">
        <v>23</v>
      </c>
      <c r="J104">
        <v>7</v>
      </c>
    </row>
    <row r="105" spans="1:10" x14ac:dyDescent="0.5">
      <c r="A105" t="s">
        <v>110</v>
      </c>
      <c r="B105">
        <v>47</v>
      </c>
      <c r="C105" t="s">
        <v>11</v>
      </c>
      <c r="D105">
        <v>6</v>
      </c>
      <c r="E105">
        <v>6</v>
      </c>
      <c r="F105">
        <v>7</v>
      </c>
      <c r="G105">
        <v>6</v>
      </c>
      <c r="H105">
        <v>2</v>
      </c>
      <c r="I105" t="s">
        <v>12</v>
      </c>
      <c r="J105">
        <v>9</v>
      </c>
    </row>
    <row r="106" spans="1:10" x14ac:dyDescent="0.5">
      <c r="A106" t="s">
        <v>111</v>
      </c>
      <c r="B106">
        <v>19</v>
      </c>
      <c r="C106" t="s">
        <v>11</v>
      </c>
      <c r="D106">
        <v>7.2</v>
      </c>
      <c r="E106">
        <v>5</v>
      </c>
      <c r="F106">
        <v>6</v>
      </c>
      <c r="G106">
        <v>1</v>
      </c>
      <c r="H106">
        <v>0</v>
      </c>
      <c r="I106" t="s">
        <v>13</v>
      </c>
      <c r="J106">
        <v>9</v>
      </c>
    </row>
    <row r="107" spans="1:10" x14ac:dyDescent="0.5">
      <c r="A107" t="s">
        <v>112</v>
      </c>
      <c r="B107">
        <v>45</v>
      </c>
      <c r="C107" t="s">
        <v>11</v>
      </c>
      <c r="D107">
        <v>6.3</v>
      </c>
      <c r="E107">
        <v>7</v>
      </c>
      <c r="F107">
        <v>8</v>
      </c>
      <c r="G107">
        <v>0</v>
      </c>
      <c r="H107">
        <v>2</v>
      </c>
      <c r="I107" t="s">
        <v>13</v>
      </c>
      <c r="J107">
        <v>6</v>
      </c>
    </row>
    <row r="108" spans="1:10" x14ac:dyDescent="0.5">
      <c r="A108" t="s">
        <v>113</v>
      </c>
      <c r="B108">
        <v>38</v>
      </c>
      <c r="C108" t="s">
        <v>11</v>
      </c>
      <c r="D108">
        <v>6.2</v>
      </c>
      <c r="E108">
        <v>7</v>
      </c>
      <c r="F108">
        <v>7</v>
      </c>
      <c r="G108">
        <v>1</v>
      </c>
      <c r="H108">
        <v>3</v>
      </c>
      <c r="I108" t="s">
        <v>23</v>
      </c>
      <c r="J108">
        <v>9</v>
      </c>
    </row>
    <row r="109" spans="1:10" x14ac:dyDescent="0.5">
      <c r="A109" t="s">
        <v>114</v>
      </c>
      <c r="B109">
        <v>30</v>
      </c>
      <c r="C109" t="s">
        <v>11</v>
      </c>
      <c r="D109">
        <v>6.8</v>
      </c>
      <c r="E109">
        <v>7</v>
      </c>
      <c r="F109">
        <v>7</v>
      </c>
      <c r="G109">
        <v>2</v>
      </c>
      <c r="H109">
        <v>1</v>
      </c>
      <c r="I109" t="s">
        <v>19</v>
      </c>
      <c r="J109">
        <v>10</v>
      </c>
    </row>
    <row r="110" spans="1:10" x14ac:dyDescent="0.5">
      <c r="A110" t="s">
        <v>115</v>
      </c>
      <c r="B110">
        <v>44</v>
      </c>
      <c r="C110" t="s">
        <v>11</v>
      </c>
      <c r="D110">
        <v>6.4</v>
      </c>
      <c r="E110">
        <v>6</v>
      </c>
      <c r="F110">
        <v>8</v>
      </c>
      <c r="G110">
        <v>0</v>
      </c>
      <c r="H110">
        <v>1</v>
      </c>
      <c r="I110" t="s">
        <v>13</v>
      </c>
      <c r="J110">
        <v>7</v>
      </c>
    </row>
    <row r="111" spans="1:10" x14ac:dyDescent="0.5">
      <c r="A111" t="s">
        <v>116</v>
      </c>
      <c r="B111">
        <v>28</v>
      </c>
      <c r="C111" t="s">
        <v>11</v>
      </c>
      <c r="D111">
        <v>7</v>
      </c>
      <c r="E111">
        <v>6</v>
      </c>
      <c r="F111">
        <v>6</v>
      </c>
      <c r="G111">
        <v>3</v>
      </c>
      <c r="H111">
        <v>2</v>
      </c>
      <c r="I111" t="s">
        <v>19</v>
      </c>
      <c r="J111">
        <v>8</v>
      </c>
    </row>
    <row r="112" spans="1:10" x14ac:dyDescent="0.5">
      <c r="A112" t="s">
        <v>117</v>
      </c>
      <c r="B112">
        <v>47</v>
      </c>
      <c r="C112" t="s">
        <v>11</v>
      </c>
      <c r="D112">
        <v>7.3</v>
      </c>
      <c r="E112">
        <v>4</v>
      </c>
      <c r="F112">
        <v>6</v>
      </c>
      <c r="G112">
        <v>5</v>
      </c>
      <c r="H112">
        <v>4</v>
      </c>
      <c r="I112" t="s">
        <v>17</v>
      </c>
      <c r="J112">
        <v>8</v>
      </c>
    </row>
    <row r="113" spans="1:10" x14ac:dyDescent="0.5">
      <c r="A113" t="s">
        <v>118</v>
      </c>
      <c r="B113">
        <v>22</v>
      </c>
      <c r="C113" t="s">
        <v>16</v>
      </c>
      <c r="D113">
        <v>8.3000000000000007</v>
      </c>
      <c r="E113">
        <v>5</v>
      </c>
      <c r="F113">
        <v>10</v>
      </c>
      <c r="G113">
        <v>0</v>
      </c>
      <c r="H113">
        <v>2</v>
      </c>
      <c r="I113" t="s">
        <v>23</v>
      </c>
      <c r="J113">
        <v>6</v>
      </c>
    </row>
    <row r="114" spans="1:10" x14ac:dyDescent="0.5">
      <c r="A114" t="s">
        <v>119</v>
      </c>
      <c r="B114">
        <v>37</v>
      </c>
      <c r="C114" t="s">
        <v>16</v>
      </c>
      <c r="D114">
        <v>4.3</v>
      </c>
      <c r="E114">
        <v>6</v>
      </c>
      <c r="F114">
        <v>8</v>
      </c>
      <c r="G114">
        <v>3</v>
      </c>
      <c r="H114">
        <v>5</v>
      </c>
      <c r="I114" t="s">
        <v>13</v>
      </c>
      <c r="J114">
        <v>9</v>
      </c>
    </row>
    <row r="115" spans="1:10" x14ac:dyDescent="0.5">
      <c r="A115" t="s">
        <v>120</v>
      </c>
      <c r="B115">
        <v>43</v>
      </c>
      <c r="C115" t="s">
        <v>11</v>
      </c>
      <c r="D115">
        <v>6.4</v>
      </c>
      <c r="E115">
        <v>6</v>
      </c>
      <c r="F115">
        <v>7</v>
      </c>
      <c r="G115">
        <v>4</v>
      </c>
      <c r="H115">
        <v>2</v>
      </c>
      <c r="I115" t="s">
        <v>14</v>
      </c>
      <c r="J115">
        <v>7</v>
      </c>
    </row>
    <row r="116" spans="1:10" x14ac:dyDescent="0.5">
      <c r="A116" t="s">
        <v>121</v>
      </c>
      <c r="B116">
        <v>17</v>
      </c>
      <c r="C116" t="s">
        <v>16</v>
      </c>
      <c r="D116">
        <v>4.8</v>
      </c>
      <c r="E116">
        <v>7</v>
      </c>
      <c r="F116">
        <v>6</v>
      </c>
      <c r="G116">
        <v>3</v>
      </c>
      <c r="H116">
        <v>3</v>
      </c>
      <c r="I116" t="s">
        <v>17</v>
      </c>
      <c r="J116">
        <v>10</v>
      </c>
    </row>
    <row r="117" spans="1:10" x14ac:dyDescent="0.5">
      <c r="A117" t="s">
        <v>122</v>
      </c>
      <c r="B117">
        <v>21</v>
      </c>
      <c r="C117" t="s">
        <v>16</v>
      </c>
      <c r="D117">
        <v>4</v>
      </c>
      <c r="E117">
        <v>9</v>
      </c>
      <c r="F117">
        <v>5</v>
      </c>
      <c r="G117">
        <v>3</v>
      </c>
      <c r="H117">
        <v>2</v>
      </c>
      <c r="I117" t="s">
        <v>19</v>
      </c>
      <c r="J117">
        <v>10</v>
      </c>
    </row>
    <row r="118" spans="1:10" x14ac:dyDescent="0.5">
      <c r="A118" t="s">
        <v>123</v>
      </c>
      <c r="B118">
        <v>43</v>
      </c>
      <c r="C118" t="s">
        <v>11</v>
      </c>
      <c r="D118">
        <v>4.3</v>
      </c>
      <c r="E118">
        <v>7</v>
      </c>
      <c r="F118">
        <v>6</v>
      </c>
      <c r="G118">
        <v>3</v>
      </c>
      <c r="H118">
        <v>4</v>
      </c>
      <c r="I118" t="s">
        <v>13</v>
      </c>
      <c r="J118">
        <v>9</v>
      </c>
    </row>
    <row r="119" spans="1:10" x14ac:dyDescent="0.5">
      <c r="A119" t="s">
        <v>124</v>
      </c>
      <c r="B119">
        <v>43</v>
      </c>
      <c r="C119" t="s">
        <v>16</v>
      </c>
      <c r="D119">
        <v>6.4</v>
      </c>
      <c r="E119">
        <v>6</v>
      </c>
      <c r="F119">
        <v>7</v>
      </c>
      <c r="G119">
        <v>1</v>
      </c>
      <c r="H119">
        <v>1</v>
      </c>
      <c r="I119" t="s">
        <v>23</v>
      </c>
      <c r="J119">
        <v>9</v>
      </c>
    </row>
    <row r="120" spans="1:10" x14ac:dyDescent="0.5">
      <c r="A120" t="s">
        <v>125</v>
      </c>
      <c r="B120">
        <v>35</v>
      </c>
      <c r="C120" t="s">
        <v>16</v>
      </c>
      <c r="D120">
        <v>6.3</v>
      </c>
      <c r="E120">
        <v>6</v>
      </c>
      <c r="F120">
        <v>7</v>
      </c>
      <c r="G120">
        <v>6</v>
      </c>
      <c r="H120">
        <v>4</v>
      </c>
      <c r="I120" t="s">
        <v>12</v>
      </c>
      <c r="J120">
        <v>9</v>
      </c>
    </row>
    <row r="121" spans="1:10" x14ac:dyDescent="0.5">
      <c r="A121" t="s">
        <v>126</v>
      </c>
      <c r="B121">
        <v>45</v>
      </c>
      <c r="C121" t="s">
        <v>11</v>
      </c>
      <c r="D121">
        <v>6.2</v>
      </c>
      <c r="E121">
        <v>5</v>
      </c>
      <c r="F121">
        <v>8</v>
      </c>
      <c r="G121">
        <v>5</v>
      </c>
      <c r="H121">
        <v>3</v>
      </c>
      <c r="I121" t="s">
        <v>14</v>
      </c>
      <c r="J121">
        <v>8</v>
      </c>
    </row>
    <row r="122" spans="1:10" x14ac:dyDescent="0.5">
      <c r="A122" t="s">
        <v>127</v>
      </c>
      <c r="B122">
        <v>26</v>
      </c>
      <c r="C122" t="s">
        <v>11</v>
      </c>
      <c r="D122">
        <v>5.0999999999999996</v>
      </c>
      <c r="E122">
        <v>6</v>
      </c>
      <c r="F122">
        <v>5</v>
      </c>
      <c r="G122">
        <v>5</v>
      </c>
      <c r="H122">
        <v>2</v>
      </c>
      <c r="I122" t="s">
        <v>19</v>
      </c>
      <c r="J122">
        <v>9</v>
      </c>
    </row>
    <row r="123" spans="1:10" x14ac:dyDescent="0.5">
      <c r="A123" t="s">
        <v>128</v>
      </c>
      <c r="B123">
        <v>43</v>
      </c>
      <c r="C123" t="s">
        <v>16</v>
      </c>
      <c r="D123">
        <v>5.5</v>
      </c>
      <c r="E123">
        <v>8</v>
      </c>
      <c r="F123">
        <v>6</v>
      </c>
      <c r="G123">
        <v>5</v>
      </c>
      <c r="H123">
        <v>2</v>
      </c>
      <c r="I123" t="s">
        <v>17</v>
      </c>
      <c r="J123">
        <v>10</v>
      </c>
    </row>
    <row r="124" spans="1:10" x14ac:dyDescent="0.5">
      <c r="A124" t="s">
        <v>129</v>
      </c>
      <c r="B124">
        <v>40</v>
      </c>
      <c r="C124" t="s">
        <v>16</v>
      </c>
      <c r="D124">
        <v>7</v>
      </c>
      <c r="E124">
        <v>4</v>
      </c>
      <c r="F124">
        <v>6</v>
      </c>
      <c r="G124">
        <v>0</v>
      </c>
      <c r="H124">
        <v>5</v>
      </c>
      <c r="I124" t="s">
        <v>23</v>
      </c>
      <c r="J124">
        <v>8</v>
      </c>
    </row>
    <row r="125" spans="1:10" x14ac:dyDescent="0.5">
      <c r="A125" t="s">
        <v>130</v>
      </c>
      <c r="B125">
        <v>48</v>
      </c>
      <c r="C125" t="s">
        <v>11</v>
      </c>
      <c r="D125">
        <v>2.8</v>
      </c>
      <c r="E125">
        <v>7</v>
      </c>
      <c r="F125">
        <v>5</v>
      </c>
      <c r="G125">
        <v>5</v>
      </c>
      <c r="H125">
        <v>3</v>
      </c>
      <c r="I125" t="s">
        <v>14</v>
      </c>
      <c r="J125">
        <v>10</v>
      </c>
    </row>
    <row r="126" spans="1:10" x14ac:dyDescent="0.5">
      <c r="A126" t="s">
        <v>131</v>
      </c>
      <c r="B126">
        <v>16</v>
      </c>
      <c r="C126" t="s">
        <v>11</v>
      </c>
      <c r="D126">
        <v>5.5</v>
      </c>
      <c r="E126">
        <v>7</v>
      </c>
      <c r="F126">
        <v>7</v>
      </c>
      <c r="G126">
        <v>4</v>
      </c>
      <c r="H126">
        <v>1</v>
      </c>
      <c r="I126" t="s">
        <v>23</v>
      </c>
      <c r="J126">
        <v>9</v>
      </c>
    </row>
    <row r="127" spans="1:10" x14ac:dyDescent="0.5">
      <c r="A127" t="s">
        <v>132</v>
      </c>
      <c r="B127">
        <v>42</v>
      </c>
      <c r="C127" t="s">
        <v>11</v>
      </c>
      <c r="D127">
        <v>5.7</v>
      </c>
      <c r="E127">
        <v>7</v>
      </c>
      <c r="F127">
        <v>7</v>
      </c>
      <c r="G127">
        <v>0</v>
      </c>
      <c r="H127">
        <v>1</v>
      </c>
      <c r="I127" t="s">
        <v>13</v>
      </c>
      <c r="J127">
        <v>9</v>
      </c>
    </row>
    <row r="128" spans="1:10" x14ac:dyDescent="0.5">
      <c r="A128" t="s">
        <v>133</v>
      </c>
      <c r="B128">
        <v>28</v>
      </c>
      <c r="C128" t="s">
        <v>16</v>
      </c>
      <c r="D128">
        <v>6.9</v>
      </c>
      <c r="E128">
        <v>5</v>
      </c>
      <c r="F128">
        <v>8</v>
      </c>
      <c r="G128">
        <v>3</v>
      </c>
      <c r="H128">
        <v>3</v>
      </c>
      <c r="I128" t="s">
        <v>12</v>
      </c>
      <c r="J128">
        <v>8</v>
      </c>
    </row>
    <row r="129" spans="1:10" x14ac:dyDescent="0.5">
      <c r="A129" t="s">
        <v>134</v>
      </c>
      <c r="B129">
        <v>18</v>
      </c>
      <c r="C129" t="s">
        <v>16</v>
      </c>
      <c r="D129">
        <v>3.1</v>
      </c>
      <c r="E129">
        <v>7</v>
      </c>
      <c r="F129">
        <v>6</v>
      </c>
      <c r="G129">
        <v>4</v>
      </c>
      <c r="H129">
        <v>3</v>
      </c>
      <c r="I129" t="s">
        <v>17</v>
      </c>
      <c r="J129">
        <v>9</v>
      </c>
    </row>
    <row r="130" spans="1:10" x14ac:dyDescent="0.5">
      <c r="A130" t="s">
        <v>135</v>
      </c>
      <c r="B130">
        <v>21</v>
      </c>
      <c r="C130" t="s">
        <v>11</v>
      </c>
      <c r="D130">
        <v>8.1999999999999993</v>
      </c>
      <c r="E130">
        <v>5</v>
      </c>
      <c r="F130">
        <v>7</v>
      </c>
      <c r="G130">
        <v>6</v>
      </c>
      <c r="H130">
        <v>4</v>
      </c>
      <c r="I130" t="s">
        <v>23</v>
      </c>
      <c r="J130">
        <v>7</v>
      </c>
    </row>
    <row r="131" spans="1:10" x14ac:dyDescent="0.5">
      <c r="A131" t="s">
        <v>136</v>
      </c>
      <c r="B131">
        <v>23</v>
      </c>
      <c r="C131" t="s">
        <v>11</v>
      </c>
      <c r="D131">
        <v>5.9</v>
      </c>
      <c r="E131">
        <v>5</v>
      </c>
      <c r="F131">
        <v>5</v>
      </c>
      <c r="G131">
        <v>4</v>
      </c>
      <c r="H131">
        <v>0</v>
      </c>
      <c r="I131" t="s">
        <v>19</v>
      </c>
      <c r="J131">
        <v>9</v>
      </c>
    </row>
    <row r="132" spans="1:10" x14ac:dyDescent="0.5">
      <c r="A132" t="s">
        <v>137</v>
      </c>
      <c r="B132">
        <v>42</v>
      </c>
      <c r="C132" t="s">
        <v>16</v>
      </c>
      <c r="D132">
        <v>6</v>
      </c>
      <c r="E132">
        <v>5</v>
      </c>
      <c r="F132">
        <v>8</v>
      </c>
      <c r="G132">
        <v>1</v>
      </c>
      <c r="H132">
        <v>1</v>
      </c>
      <c r="I132" t="s">
        <v>13</v>
      </c>
      <c r="J132">
        <v>7</v>
      </c>
    </row>
    <row r="133" spans="1:10" x14ac:dyDescent="0.5">
      <c r="A133" t="s">
        <v>138</v>
      </c>
      <c r="B133">
        <v>24</v>
      </c>
      <c r="C133" t="s">
        <v>11</v>
      </c>
      <c r="D133">
        <v>4.8</v>
      </c>
      <c r="E133">
        <v>8</v>
      </c>
      <c r="F133">
        <v>4</v>
      </c>
      <c r="G133">
        <v>6</v>
      </c>
      <c r="H133">
        <v>4</v>
      </c>
      <c r="I133" t="s">
        <v>13</v>
      </c>
      <c r="J133">
        <v>10</v>
      </c>
    </row>
    <row r="134" spans="1:10" x14ac:dyDescent="0.5">
      <c r="A134" t="s">
        <v>139</v>
      </c>
      <c r="B134">
        <v>48</v>
      </c>
      <c r="C134" t="s">
        <v>11</v>
      </c>
      <c r="D134">
        <v>6.5</v>
      </c>
      <c r="E134">
        <v>6</v>
      </c>
      <c r="F134">
        <v>8</v>
      </c>
      <c r="G134">
        <v>3</v>
      </c>
      <c r="H134">
        <v>3</v>
      </c>
      <c r="I134" t="s">
        <v>17</v>
      </c>
      <c r="J134">
        <v>8</v>
      </c>
    </row>
    <row r="135" spans="1:10" x14ac:dyDescent="0.5">
      <c r="A135" t="s">
        <v>140</v>
      </c>
      <c r="B135">
        <v>39</v>
      </c>
      <c r="C135" t="s">
        <v>16</v>
      </c>
      <c r="D135">
        <v>5.6</v>
      </c>
      <c r="E135">
        <v>8</v>
      </c>
      <c r="F135">
        <v>6</v>
      </c>
      <c r="G135">
        <v>2</v>
      </c>
      <c r="H135">
        <v>3</v>
      </c>
      <c r="I135" t="s">
        <v>13</v>
      </c>
      <c r="J135">
        <v>9</v>
      </c>
    </row>
    <row r="136" spans="1:10" x14ac:dyDescent="0.5">
      <c r="A136" t="s">
        <v>141</v>
      </c>
      <c r="B136">
        <v>30</v>
      </c>
      <c r="C136" t="s">
        <v>16</v>
      </c>
      <c r="D136">
        <v>7.7</v>
      </c>
      <c r="E136">
        <v>4</v>
      </c>
      <c r="F136">
        <v>10</v>
      </c>
      <c r="G136">
        <v>2</v>
      </c>
      <c r="H136">
        <v>1</v>
      </c>
      <c r="I136" t="s">
        <v>19</v>
      </c>
      <c r="J136">
        <v>8</v>
      </c>
    </row>
    <row r="137" spans="1:10" x14ac:dyDescent="0.5">
      <c r="A137" t="s">
        <v>142</v>
      </c>
      <c r="B137">
        <v>47</v>
      </c>
      <c r="C137" t="s">
        <v>16</v>
      </c>
      <c r="D137">
        <v>2.9</v>
      </c>
      <c r="E137">
        <v>8</v>
      </c>
      <c r="F137">
        <v>5</v>
      </c>
      <c r="G137">
        <v>0</v>
      </c>
      <c r="H137">
        <v>1</v>
      </c>
      <c r="I137" t="s">
        <v>23</v>
      </c>
      <c r="J137">
        <v>10</v>
      </c>
    </row>
    <row r="138" spans="1:10" x14ac:dyDescent="0.5">
      <c r="A138" t="s">
        <v>143</v>
      </c>
      <c r="B138">
        <v>47</v>
      </c>
      <c r="C138" t="s">
        <v>16</v>
      </c>
      <c r="D138">
        <v>5.8</v>
      </c>
      <c r="E138">
        <v>6</v>
      </c>
      <c r="F138">
        <v>7</v>
      </c>
      <c r="G138">
        <v>3</v>
      </c>
      <c r="H138">
        <v>4</v>
      </c>
      <c r="I138" t="s">
        <v>17</v>
      </c>
      <c r="J138">
        <v>10</v>
      </c>
    </row>
    <row r="139" spans="1:10" x14ac:dyDescent="0.5">
      <c r="A139" t="s">
        <v>144</v>
      </c>
      <c r="B139">
        <v>39</v>
      </c>
      <c r="C139" t="s">
        <v>11</v>
      </c>
      <c r="D139">
        <v>6.2</v>
      </c>
      <c r="E139">
        <v>5</v>
      </c>
      <c r="F139">
        <v>8</v>
      </c>
      <c r="G139">
        <v>4</v>
      </c>
      <c r="H139">
        <v>4</v>
      </c>
      <c r="I139" t="s">
        <v>13</v>
      </c>
      <c r="J139">
        <v>7</v>
      </c>
    </row>
    <row r="140" spans="1:10" x14ac:dyDescent="0.5">
      <c r="A140" t="s">
        <v>145</v>
      </c>
      <c r="B140">
        <v>27</v>
      </c>
      <c r="C140" t="s">
        <v>11</v>
      </c>
      <c r="D140">
        <v>5.2</v>
      </c>
      <c r="E140">
        <v>7</v>
      </c>
      <c r="F140">
        <v>5</v>
      </c>
      <c r="G140">
        <v>2</v>
      </c>
      <c r="H140">
        <v>1</v>
      </c>
      <c r="I140" t="s">
        <v>13</v>
      </c>
      <c r="J140">
        <v>10</v>
      </c>
    </row>
    <row r="141" spans="1:10" x14ac:dyDescent="0.5">
      <c r="A141" t="s">
        <v>146</v>
      </c>
      <c r="B141">
        <v>17</v>
      </c>
      <c r="C141" t="s">
        <v>16</v>
      </c>
      <c r="D141">
        <v>4.8</v>
      </c>
      <c r="E141">
        <v>8</v>
      </c>
      <c r="F141">
        <v>5</v>
      </c>
      <c r="G141">
        <v>4</v>
      </c>
      <c r="H141">
        <v>1</v>
      </c>
      <c r="I141" t="s">
        <v>19</v>
      </c>
      <c r="J141">
        <v>10</v>
      </c>
    </row>
    <row r="142" spans="1:10" x14ac:dyDescent="0.5">
      <c r="A142" t="s">
        <v>147</v>
      </c>
      <c r="B142">
        <v>18</v>
      </c>
      <c r="C142" t="s">
        <v>11</v>
      </c>
      <c r="D142">
        <v>4.8</v>
      </c>
      <c r="E142">
        <v>6</v>
      </c>
      <c r="F142">
        <v>5</v>
      </c>
      <c r="G142">
        <v>1</v>
      </c>
      <c r="H142">
        <v>2</v>
      </c>
      <c r="I142" t="s">
        <v>12</v>
      </c>
      <c r="J142">
        <v>10</v>
      </c>
    </row>
    <row r="143" spans="1:10" x14ac:dyDescent="0.5">
      <c r="A143" t="s">
        <v>148</v>
      </c>
      <c r="B143">
        <v>32</v>
      </c>
      <c r="C143" t="s">
        <v>11</v>
      </c>
      <c r="D143">
        <v>5.8</v>
      </c>
      <c r="E143">
        <v>6</v>
      </c>
      <c r="F143">
        <v>6</v>
      </c>
      <c r="G143">
        <v>3</v>
      </c>
      <c r="H143">
        <v>1</v>
      </c>
      <c r="I143" t="s">
        <v>12</v>
      </c>
      <c r="J143">
        <v>10</v>
      </c>
    </row>
    <row r="144" spans="1:10" x14ac:dyDescent="0.5">
      <c r="A144" t="s">
        <v>149</v>
      </c>
      <c r="B144">
        <v>17</v>
      </c>
      <c r="C144" t="s">
        <v>11</v>
      </c>
      <c r="D144">
        <v>2.2000000000000002</v>
      </c>
      <c r="E144">
        <v>10</v>
      </c>
      <c r="F144">
        <v>5</v>
      </c>
      <c r="G144">
        <v>4</v>
      </c>
      <c r="H144">
        <v>1</v>
      </c>
      <c r="I144" t="s">
        <v>13</v>
      </c>
      <c r="J144">
        <v>10</v>
      </c>
    </row>
    <row r="145" spans="1:10" x14ac:dyDescent="0.5">
      <c r="A145" t="s">
        <v>150</v>
      </c>
      <c r="B145">
        <v>17</v>
      </c>
      <c r="C145" t="s">
        <v>11</v>
      </c>
      <c r="D145">
        <v>7.2</v>
      </c>
      <c r="E145">
        <v>7</v>
      </c>
      <c r="F145">
        <v>8</v>
      </c>
      <c r="G145">
        <v>3</v>
      </c>
      <c r="H145">
        <v>1</v>
      </c>
      <c r="I145" t="s">
        <v>23</v>
      </c>
      <c r="J145">
        <v>8</v>
      </c>
    </row>
    <row r="146" spans="1:10" x14ac:dyDescent="0.5">
      <c r="A146" t="s">
        <v>151</v>
      </c>
      <c r="B146">
        <v>43</v>
      </c>
      <c r="C146" t="s">
        <v>11</v>
      </c>
      <c r="D146">
        <v>4.5999999999999996</v>
      </c>
      <c r="E146">
        <v>8</v>
      </c>
      <c r="F146">
        <v>7</v>
      </c>
      <c r="G146">
        <v>0</v>
      </c>
      <c r="H146">
        <v>2</v>
      </c>
      <c r="I146" t="s">
        <v>17</v>
      </c>
      <c r="J146">
        <v>9</v>
      </c>
    </row>
    <row r="147" spans="1:10" x14ac:dyDescent="0.5">
      <c r="A147" t="s">
        <v>152</v>
      </c>
      <c r="B147">
        <v>38</v>
      </c>
      <c r="C147" t="s">
        <v>11</v>
      </c>
      <c r="D147">
        <v>5.7</v>
      </c>
      <c r="E147">
        <v>7</v>
      </c>
      <c r="F147">
        <v>5</v>
      </c>
      <c r="G147">
        <v>2</v>
      </c>
      <c r="H147">
        <v>1</v>
      </c>
      <c r="I147" t="s">
        <v>13</v>
      </c>
      <c r="J147">
        <v>10</v>
      </c>
    </row>
    <row r="148" spans="1:10" x14ac:dyDescent="0.5">
      <c r="A148" t="s">
        <v>153</v>
      </c>
      <c r="B148">
        <v>47</v>
      </c>
      <c r="C148" t="s">
        <v>11</v>
      </c>
      <c r="D148">
        <v>6.2</v>
      </c>
      <c r="E148">
        <v>5</v>
      </c>
      <c r="F148">
        <v>7</v>
      </c>
      <c r="G148">
        <v>6</v>
      </c>
      <c r="H148">
        <v>1</v>
      </c>
      <c r="I148" t="s">
        <v>14</v>
      </c>
      <c r="J148">
        <v>9</v>
      </c>
    </row>
    <row r="149" spans="1:10" x14ac:dyDescent="0.5">
      <c r="A149" t="s">
        <v>154</v>
      </c>
      <c r="B149">
        <v>48</v>
      </c>
      <c r="C149" t="s">
        <v>11</v>
      </c>
      <c r="D149">
        <v>4.5999999999999996</v>
      </c>
      <c r="E149">
        <v>7</v>
      </c>
      <c r="F149">
        <v>5</v>
      </c>
      <c r="G149">
        <v>2</v>
      </c>
      <c r="H149">
        <v>3</v>
      </c>
      <c r="I149" t="s">
        <v>17</v>
      </c>
      <c r="J149">
        <v>10</v>
      </c>
    </row>
    <row r="150" spans="1:10" x14ac:dyDescent="0.5">
      <c r="A150" t="s">
        <v>155</v>
      </c>
      <c r="B150">
        <v>16</v>
      </c>
      <c r="C150" t="s">
        <v>16</v>
      </c>
      <c r="D150">
        <v>5.3</v>
      </c>
      <c r="E150">
        <v>7</v>
      </c>
      <c r="F150">
        <v>6</v>
      </c>
      <c r="G150">
        <v>3</v>
      </c>
      <c r="H150">
        <v>2</v>
      </c>
      <c r="I150" t="s">
        <v>12</v>
      </c>
      <c r="J150">
        <v>10</v>
      </c>
    </row>
    <row r="151" spans="1:10" x14ac:dyDescent="0.5">
      <c r="A151" t="s">
        <v>156</v>
      </c>
      <c r="B151">
        <v>34</v>
      </c>
      <c r="C151" t="s">
        <v>16</v>
      </c>
      <c r="D151">
        <v>1.8</v>
      </c>
      <c r="E151">
        <v>9</v>
      </c>
      <c r="F151">
        <v>7</v>
      </c>
      <c r="G151">
        <v>3</v>
      </c>
      <c r="H151">
        <v>3</v>
      </c>
      <c r="I151" t="s">
        <v>13</v>
      </c>
      <c r="J151">
        <v>10</v>
      </c>
    </row>
    <row r="152" spans="1:10" x14ac:dyDescent="0.5">
      <c r="A152" t="s">
        <v>157</v>
      </c>
      <c r="B152">
        <v>17</v>
      </c>
      <c r="C152" t="s">
        <v>16</v>
      </c>
      <c r="D152">
        <v>6.8</v>
      </c>
      <c r="E152">
        <v>5</v>
      </c>
      <c r="F152">
        <v>8</v>
      </c>
      <c r="G152">
        <v>6</v>
      </c>
      <c r="H152">
        <v>0</v>
      </c>
      <c r="I152" t="s">
        <v>19</v>
      </c>
      <c r="J152">
        <v>6</v>
      </c>
    </row>
    <row r="153" spans="1:10" x14ac:dyDescent="0.5">
      <c r="A153" t="s">
        <v>158</v>
      </c>
      <c r="B153">
        <v>41</v>
      </c>
      <c r="C153" t="s">
        <v>16</v>
      </c>
      <c r="D153">
        <v>7.4</v>
      </c>
      <c r="E153">
        <v>4</v>
      </c>
      <c r="F153">
        <v>9</v>
      </c>
      <c r="G153">
        <v>6</v>
      </c>
      <c r="H153">
        <v>3</v>
      </c>
      <c r="I153" t="s">
        <v>14</v>
      </c>
      <c r="J153">
        <v>5</v>
      </c>
    </row>
    <row r="154" spans="1:10" x14ac:dyDescent="0.5">
      <c r="A154" t="s">
        <v>159</v>
      </c>
      <c r="B154">
        <v>47</v>
      </c>
      <c r="C154" t="s">
        <v>16</v>
      </c>
      <c r="D154">
        <v>2.4</v>
      </c>
      <c r="E154">
        <v>7</v>
      </c>
      <c r="F154">
        <v>7</v>
      </c>
      <c r="G154">
        <v>5</v>
      </c>
      <c r="H154">
        <v>6</v>
      </c>
      <c r="I154" t="s">
        <v>13</v>
      </c>
      <c r="J154">
        <v>9</v>
      </c>
    </row>
    <row r="155" spans="1:10" x14ac:dyDescent="0.5">
      <c r="A155" t="s">
        <v>160</v>
      </c>
      <c r="B155">
        <v>21</v>
      </c>
      <c r="C155" t="s">
        <v>11</v>
      </c>
      <c r="D155">
        <v>4.8</v>
      </c>
      <c r="E155">
        <v>5</v>
      </c>
      <c r="F155">
        <v>7</v>
      </c>
      <c r="G155">
        <v>1</v>
      </c>
      <c r="H155">
        <v>2</v>
      </c>
      <c r="I155" t="s">
        <v>23</v>
      </c>
      <c r="J155">
        <v>8</v>
      </c>
    </row>
    <row r="156" spans="1:10" x14ac:dyDescent="0.5">
      <c r="A156" t="s">
        <v>161</v>
      </c>
      <c r="B156">
        <v>47</v>
      </c>
      <c r="C156" t="s">
        <v>16</v>
      </c>
      <c r="D156">
        <v>3.3</v>
      </c>
      <c r="E156">
        <v>8</v>
      </c>
      <c r="F156">
        <v>5</v>
      </c>
      <c r="G156">
        <v>4</v>
      </c>
      <c r="H156">
        <v>4</v>
      </c>
      <c r="I156" t="s">
        <v>14</v>
      </c>
      <c r="J156">
        <v>10</v>
      </c>
    </row>
    <row r="157" spans="1:10" x14ac:dyDescent="0.5">
      <c r="A157" t="s">
        <v>162</v>
      </c>
      <c r="B157">
        <v>19</v>
      </c>
      <c r="C157" t="s">
        <v>16</v>
      </c>
      <c r="D157">
        <v>5.2</v>
      </c>
      <c r="E157">
        <v>7</v>
      </c>
      <c r="F157">
        <v>5</v>
      </c>
      <c r="G157">
        <v>4</v>
      </c>
      <c r="H157">
        <v>4</v>
      </c>
      <c r="I157" t="s">
        <v>13</v>
      </c>
      <c r="J157">
        <v>10</v>
      </c>
    </row>
    <row r="158" spans="1:10" x14ac:dyDescent="0.5">
      <c r="A158" t="s">
        <v>163</v>
      </c>
      <c r="B158">
        <v>26</v>
      </c>
      <c r="C158" t="s">
        <v>16</v>
      </c>
      <c r="D158">
        <v>6.7</v>
      </c>
      <c r="E158">
        <v>5</v>
      </c>
      <c r="F158">
        <v>7</v>
      </c>
      <c r="G158">
        <v>2</v>
      </c>
      <c r="H158">
        <v>4</v>
      </c>
      <c r="I158" t="s">
        <v>23</v>
      </c>
      <c r="J158">
        <v>8</v>
      </c>
    </row>
    <row r="159" spans="1:10" x14ac:dyDescent="0.5">
      <c r="A159" t="s">
        <v>164</v>
      </c>
      <c r="B159">
        <v>32</v>
      </c>
      <c r="C159" t="s">
        <v>11</v>
      </c>
      <c r="D159">
        <v>7.3</v>
      </c>
      <c r="E159">
        <v>5</v>
      </c>
      <c r="F159">
        <v>7</v>
      </c>
      <c r="G159">
        <v>1</v>
      </c>
      <c r="H159">
        <v>3</v>
      </c>
      <c r="I159" t="s">
        <v>14</v>
      </c>
      <c r="J159">
        <v>8</v>
      </c>
    </row>
    <row r="160" spans="1:10" x14ac:dyDescent="0.5">
      <c r="A160" t="s">
        <v>165</v>
      </c>
      <c r="B160">
        <v>39</v>
      </c>
      <c r="C160" t="s">
        <v>11</v>
      </c>
      <c r="D160">
        <v>7.5</v>
      </c>
      <c r="E160">
        <v>5</v>
      </c>
      <c r="F160">
        <v>6</v>
      </c>
      <c r="G160">
        <v>6</v>
      </c>
      <c r="H160">
        <v>3</v>
      </c>
      <c r="I160" t="s">
        <v>23</v>
      </c>
      <c r="J160">
        <v>7</v>
      </c>
    </row>
    <row r="161" spans="1:10" x14ac:dyDescent="0.5">
      <c r="A161" t="s">
        <v>166</v>
      </c>
      <c r="B161">
        <v>20</v>
      </c>
      <c r="C161" t="s">
        <v>11</v>
      </c>
      <c r="D161">
        <v>7.9</v>
      </c>
      <c r="E161">
        <v>5</v>
      </c>
      <c r="F161">
        <v>9</v>
      </c>
      <c r="G161">
        <v>2</v>
      </c>
      <c r="H161">
        <v>4</v>
      </c>
      <c r="I161" t="s">
        <v>23</v>
      </c>
      <c r="J161">
        <v>5</v>
      </c>
    </row>
    <row r="162" spans="1:10" x14ac:dyDescent="0.5">
      <c r="A162" t="s">
        <v>167</v>
      </c>
      <c r="B162">
        <v>49</v>
      </c>
      <c r="C162" t="s">
        <v>11</v>
      </c>
      <c r="D162">
        <v>5.0999999999999996</v>
      </c>
      <c r="E162">
        <v>5</v>
      </c>
      <c r="F162">
        <v>7</v>
      </c>
      <c r="G162">
        <v>6</v>
      </c>
      <c r="H162">
        <v>3</v>
      </c>
      <c r="I162" t="s">
        <v>14</v>
      </c>
      <c r="J162">
        <v>8</v>
      </c>
    </row>
    <row r="163" spans="1:10" x14ac:dyDescent="0.5">
      <c r="A163" t="s">
        <v>168</v>
      </c>
      <c r="B163">
        <v>21</v>
      </c>
      <c r="C163" t="s">
        <v>16</v>
      </c>
      <c r="D163">
        <v>3.4</v>
      </c>
      <c r="E163">
        <v>9</v>
      </c>
      <c r="F163">
        <v>7</v>
      </c>
      <c r="G163">
        <v>5</v>
      </c>
      <c r="H163">
        <v>1</v>
      </c>
      <c r="I163" t="s">
        <v>14</v>
      </c>
      <c r="J163">
        <v>8</v>
      </c>
    </row>
    <row r="164" spans="1:10" x14ac:dyDescent="0.5">
      <c r="A164" t="s">
        <v>169</v>
      </c>
      <c r="B164">
        <v>37</v>
      </c>
      <c r="C164" t="s">
        <v>16</v>
      </c>
      <c r="D164">
        <v>5.3</v>
      </c>
      <c r="E164">
        <v>7</v>
      </c>
      <c r="F164">
        <v>6</v>
      </c>
      <c r="G164">
        <v>4</v>
      </c>
      <c r="H164">
        <v>0</v>
      </c>
      <c r="I164" t="s">
        <v>23</v>
      </c>
      <c r="J164">
        <v>10</v>
      </c>
    </row>
    <row r="165" spans="1:10" x14ac:dyDescent="0.5">
      <c r="A165" t="s">
        <v>170</v>
      </c>
      <c r="B165">
        <v>26</v>
      </c>
      <c r="C165" t="s">
        <v>11</v>
      </c>
      <c r="D165">
        <v>6.6</v>
      </c>
      <c r="E165">
        <v>6</v>
      </c>
      <c r="F165">
        <v>8</v>
      </c>
      <c r="G165">
        <v>4</v>
      </c>
      <c r="H165">
        <v>0</v>
      </c>
      <c r="I165" t="s">
        <v>12</v>
      </c>
      <c r="J165">
        <v>8</v>
      </c>
    </row>
    <row r="166" spans="1:10" x14ac:dyDescent="0.5">
      <c r="A166" t="s">
        <v>508</v>
      </c>
      <c r="B166">
        <v>31</v>
      </c>
      <c r="C166" t="s">
        <v>496</v>
      </c>
      <c r="D166">
        <v>3.3</v>
      </c>
      <c r="E166">
        <v>9</v>
      </c>
      <c r="F166">
        <v>5</v>
      </c>
      <c r="G166">
        <v>0</v>
      </c>
      <c r="H166">
        <v>2</v>
      </c>
      <c r="I166" t="s">
        <v>14</v>
      </c>
      <c r="J166">
        <v>10</v>
      </c>
    </row>
    <row r="167" spans="1:10" x14ac:dyDescent="0.5">
      <c r="A167" t="s">
        <v>171</v>
      </c>
      <c r="B167">
        <v>48</v>
      </c>
      <c r="C167" t="s">
        <v>16</v>
      </c>
      <c r="D167">
        <v>8.5</v>
      </c>
      <c r="E167">
        <v>4</v>
      </c>
      <c r="F167">
        <v>10</v>
      </c>
      <c r="G167">
        <v>3</v>
      </c>
      <c r="H167">
        <v>3</v>
      </c>
      <c r="I167" t="s">
        <v>13</v>
      </c>
      <c r="J167">
        <v>8</v>
      </c>
    </row>
    <row r="168" spans="1:10" x14ac:dyDescent="0.5">
      <c r="A168" t="s">
        <v>172</v>
      </c>
      <c r="B168">
        <v>24</v>
      </c>
      <c r="C168" t="s">
        <v>11</v>
      </c>
      <c r="D168">
        <v>7.1</v>
      </c>
      <c r="E168">
        <v>6</v>
      </c>
      <c r="F168">
        <v>8</v>
      </c>
      <c r="G168">
        <v>6</v>
      </c>
      <c r="H168">
        <v>1</v>
      </c>
      <c r="I168" t="s">
        <v>17</v>
      </c>
      <c r="J168">
        <v>7</v>
      </c>
    </row>
    <row r="169" spans="1:10" x14ac:dyDescent="0.5">
      <c r="A169" t="s">
        <v>173</v>
      </c>
      <c r="B169">
        <v>21</v>
      </c>
      <c r="C169" t="s">
        <v>11</v>
      </c>
      <c r="D169">
        <v>5.0999999999999996</v>
      </c>
      <c r="E169">
        <v>6</v>
      </c>
      <c r="F169">
        <v>5</v>
      </c>
      <c r="G169">
        <v>4</v>
      </c>
      <c r="H169">
        <v>4</v>
      </c>
      <c r="I169" t="s">
        <v>19</v>
      </c>
      <c r="J169">
        <v>10</v>
      </c>
    </row>
    <row r="170" spans="1:10" x14ac:dyDescent="0.5">
      <c r="A170" t="s">
        <v>174</v>
      </c>
      <c r="B170">
        <v>31</v>
      </c>
      <c r="C170" t="s">
        <v>11</v>
      </c>
      <c r="D170">
        <v>4.2</v>
      </c>
      <c r="E170">
        <v>8</v>
      </c>
      <c r="F170">
        <v>6</v>
      </c>
      <c r="G170">
        <v>3</v>
      </c>
      <c r="H170">
        <v>2</v>
      </c>
      <c r="I170" t="s">
        <v>23</v>
      </c>
      <c r="J170">
        <v>10</v>
      </c>
    </row>
    <row r="171" spans="1:10" x14ac:dyDescent="0.5">
      <c r="A171" t="s">
        <v>175</v>
      </c>
      <c r="B171">
        <v>44</v>
      </c>
      <c r="C171" t="s">
        <v>11</v>
      </c>
      <c r="D171">
        <v>4.3</v>
      </c>
      <c r="E171">
        <v>8</v>
      </c>
      <c r="F171">
        <v>6</v>
      </c>
      <c r="G171">
        <v>6</v>
      </c>
      <c r="H171">
        <v>2</v>
      </c>
      <c r="I171" t="s">
        <v>23</v>
      </c>
      <c r="J171">
        <v>10</v>
      </c>
    </row>
    <row r="172" spans="1:10" x14ac:dyDescent="0.5">
      <c r="A172" t="s">
        <v>176</v>
      </c>
      <c r="B172">
        <v>18</v>
      </c>
      <c r="C172" t="s">
        <v>11</v>
      </c>
      <c r="D172">
        <v>5.6</v>
      </c>
      <c r="E172">
        <v>5</v>
      </c>
      <c r="F172">
        <v>7</v>
      </c>
      <c r="G172">
        <v>3</v>
      </c>
      <c r="H172">
        <v>1</v>
      </c>
      <c r="I172" t="s">
        <v>19</v>
      </c>
      <c r="J172">
        <v>6</v>
      </c>
    </row>
    <row r="173" spans="1:10" x14ac:dyDescent="0.5">
      <c r="A173" t="s">
        <v>177</v>
      </c>
      <c r="B173">
        <v>35</v>
      </c>
      <c r="C173" t="s">
        <v>11</v>
      </c>
      <c r="D173">
        <v>5.0999999999999996</v>
      </c>
      <c r="E173">
        <v>7</v>
      </c>
      <c r="F173">
        <v>7</v>
      </c>
      <c r="G173">
        <v>2</v>
      </c>
      <c r="H173">
        <v>0</v>
      </c>
      <c r="I173" t="s">
        <v>12</v>
      </c>
      <c r="J173">
        <v>7</v>
      </c>
    </row>
    <row r="174" spans="1:10" x14ac:dyDescent="0.5">
      <c r="A174" t="s">
        <v>178</v>
      </c>
      <c r="B174">
        <v>34</v>
      </c>
      <c r="C174" t="s">
        <v>11</v>
      </c>
      <c r="D174">
        <v>7.2</v>
      </c>
      <c r="E174">
        <v>6</v>
      </c>
      <c r="F174">
        <v>6</v>
      </c>
      <c r="G174">
        <v>3</v>
      </c>
      <c r="H174">
        <v>3</v>
      </c>
      <c r="I174" t="s">
        <v>19</v>
      </c>
      <c r="J174">
        <v>8</v>
      </c>
    </row>
    <row r="175" spans="1:10" x14ac:dyDescent="0.5">
      <c r="A175" t="s">
        <v>179</v>
      </c>
      <c r="B175">
        <v>41</v>
      </c>
      <c r="C175" t="s">
        <v>11</v>
      </c>
      <c r="D175">
        <v>4.9000000000000004</v>
      </c>
      <c r="E175">
        <v>7</v>
      </c>
      <c r="F175">
        <v>5</v>
      </c>
      <c r="G175">
        <v>5</v>
      </c>
      <c r="H175">
        <v>5</v>
      </c>
      <c r="I175" t="s">
        <v>14</v>
      </c>
      <c r="J175">
        <v>10</v>
      </c>
    </row>
    <row r="176" spans="1:10" x14ac:dyDescent="0.5">
      <c r="A176" t="s">
        <v>180</v>
      </c>
      <c r="B176">
        <v>18</v>
      </c>
      <c r="C176" t="s">
        <v>16</v>
      </c>
      <c r="D176">
        <v>6.4</v>
      </c>
      <c r="E176">
        <v>6</v>
      </c>
      <c r="F176">
        <v>8</v>
      </c>
      <c r="G176">
        <v>0</v>
      </c>
      <c r="H176">
        <v>2</v>
      </c>
      <c r="I176" t="s">
        <v>19</v>
      </c>
      <c r="J176">
        <v>8</v>
      </c>
    </row>
    <row r="177" spans="1:10" x14ac:dyDescent="0.5">
      <c r="A177" t="s">
        <v>181</v>
      </c>
      <c r="B177">
        <v>34</v>
      </c>
      <c r="C177" t="s">
        <v>11</v>
      </c>
      <c r="D177">
        <v>5.4</v>
      </c>
      <c r="E177">
        <v>6</v>
      </c>
      <c r="F177">
        <v>6</v>
      </c>
      <c r="G177">
        <v>4</v>
      </c>
      <c r="H177">
        <v>0</v>
      </c>
      <c r="I177" t="s">
        <v>23</v>
      </c>
      <c r="J177">
        <v>10</v>
      </c>
    </row>
    <row r="178" spans="1:10" x14ac:dyDescent="0.5">
      <c r="A178" t="s">
        <v>182</v>
      </c>
      <c r="B178">
        <v>35</v>
      </c>
      <c r="C178" t="s">
        <v>16</v>
      </c>
      <c r="D178">
        <v>6</v>
      </c>
      <c r="E178">
        <v>7</v>
      </c>
      <c r="F178">
        <v>7</v>
      </c>
      <c r="G178">
        <v>5</v>
      </c>
      <c r="H178">
        <v>4</v>
      </c>
      <c r="I178" t="s">
        <v>19</v>
      </c>
      <c r="J178">
        <v>8</v>
      </c>
    </row>
    <row r="179" spans="1:10" x14ac:dyDescent="0.5">
      <c r="A179" t="s">
        <v>183</v>
      </c>
      <c r="B179">
        <v>47</v>
      </c>
      <c r="C179" t="s">
        <v>11</v>
      </c>
      <c r="D179">
        <v>5.0999999999999996</v>
      </c>
      <c r="E179">
        <v>7</v>
      </c>
      <c r="F179">
        <v>4</v>
      </c>
      <c r="G179">
        <v>2</v>
      </c>
      <c r="H179">
        <v>0</v>
      </c>
      <c r="I179" t="s">
        <v>17</v>
      </c>
      <c r="J179">
        <v>9</v>
      </c>
    </row>
    <row r="180" spans="1:10" x14ac:dyDescent="0.5">
      <c r="A180" t="s">
        <v>507</v>
      </c>
      <c r="B180">
        <v>22</v>
      </c>
      <c r="C180" t="s">
        <v>496</v>
      </c>
      <c r="D180">
        <v>6.8</v>
      </c>
      <c r="E180">
        <v>5</v>
      </c>
      <c r="F180">
        <v>10</v>
      </c>
      <c r="G180">
        <v>5</v>
      </c>
      <c r="H180">
        <v>1</v>
      </c>
      <c r="I180" t="s">
        <v>13</v>
      </c>
      <c r="J180">
        <v>7</v>
      </c>
    </row>
    <row r="181" spans="1:10" x14ac:dyDescent="0.5">
      <c r="A181" t="s">
        <v>184</v>
      </c>
      <c r="B181">
        <v>48</v>
      </c>
      <c r="C181" t="s">
        <v>11</v>
      </c>
      <c r="D181">
        <v>6.8</v>
      </c>
      <c r="E181">
        <v>4</v>
      </c>
      <c r="F181">
        <v>7</v>
      </c>
      <c r="G181">
        <v>4</v>
      </c>
      <c r="H181">
        <v>2</v>
      </c>
      <c r="I181" t="s">
        <v>14</v>
      </c>
      <c r="J181">
        <v>7</v>
      </c>
    </row>
    <row r="182" spans="1:10" x14ac:dyDescent="0.5">
      <c r="A182" t="s">
        <v>185</v>
      </c>
      <c r="B182">
        <v>33</v>
      </c>
      <c r="C182" t="s">
        <v>11</v>
      </c>
      <c r="D182">
        <v>6.3</v>
      </c>
      <c r="E182">
        <v>6</v>
      </c>
      <c r="F182">
        <v>8</v>
      </c>
      <c r="G182">
        <v>7</v>
      </c>
      <c r="H182">
        <v>3</v>
      </c>
      <c r="I182" t="s">
        <v>19</v>
      </c>
      <c r="J182">
        <v>6</v>
      </c>
    </row>
    <row r="183" spans="1:10" x14ac:dyDescent="0.5">
      <c r="A183" t="s">
        <v>506</v>
      </c>
      <c r="B183">
        <v>16</v>
      </c>
      <c r="C183" t="s">
        <v>496</v>
      </c>
      <c r="D183">
        <v>6.6</v>
      </c>
      <c r="E183">
        <v>6</v>
      </c>
      <c r="F183">
        <v>7</v>
      </c>
      <c r="G183">
        <v>1</v>
      </c>
      <c r="H183">
        <v>1</v>
      </c>
      <c r="I183" t="s">
        <v>23</v>
      </c>
      <c r="J183">
        <v>8</v>
      </c>
    </row>
    <row r="184" spans="1:10" x14ac:dyDescent="0.5">
      <c r="A184" t="s">
        <v>186</v>
      </c>
      <c r="B184">
        <v>26</v>
      </c>
      <c r="C184" t="s">
        <v>16</v>
      </c>
      <c r="D184">
        <v>3.8</v>
      </c>
      <c r="E184">
        <v>10</v>
      </c>
      <c r="F184">
        <v>6</v>
      </c>
      <c r="G184">
        <v>5</v>
      </c>
      <c r="H184">
        <v>2</v>
      </c>
      <c r="I184" t="s">
        <v>13</v>
      </c>
      <c r="J184">
        <v>10</v>
      </c>
    </row>
    <row r="185" spans="1:10" x14ac:dyDescent="0.5">
      <c r="A185" t="s">
        <v>187</v>
      </c>
      <c r="B185">
        <v>43</v>
      </c>
      <c r="C185" t="s">
        <v>16</v>
      </c>
      <c r="D185">
        <v>6.1</v>
      </c>
      <c r="E185">
        <v>7</v>
      </c>
      <c r="F185">
        <v>9</v>
      </c>
      <c r="G185">
        <v>1</v>
      </c>
      <c r="H185">
        <v>4</v>
      </c>
      <c r="I185" t="s">
        <v>14</v>
      </c>
      <c r="J185">
        <v>7</v>
      </c>
    </row>
    <row r="186" spans="1:10" x14ac:dyDescent="0.5">
      <c r="A186" t="s">
        <v>188</v>
      </c>
      <c r="B186">
        <v>40</v>
      </c>
      <c r="C186" t="s">
        <v>11</v>
      </c>
      <c r="D186">
        <v>7.7</v>
      </c>
      <c r="E186">
        <v>3</v>
      </c>
      <c r="F186">
        <v>9</v>
      </c>
      <c r="G186">
        <v>0</v>
      </c>
      <c r="H186">
        <v>4</v>
      </c>
      <c r="I186" t="s">
        <v>23</v>
      </c>
      <c r="J186">
        <v>5</v>
      </c>
    </row>
    <row r="187" spans="1:10" x14ac:dyDescent="0.5">
      <c r="A187" t="s">
        <v>189</v>
      </c>
      <c r="B187">
        <v>38</v>
      </c>
      <c r="C187" t="s">
        <v>11</v>
      </c>
      <c r="D187">
        <v>6.4</v>
      </c>
      <c r="E187">
        <v>6</v>
      </c>
      <c r="F187">
        <v>7</v>
      </c>
      <c r="G187">
        <v>0</v>
      </c>
      <c r="H187">
        <v>4</v>
      </c>
      <c r="I187" t="s">
        <v>12</v>
      </c>
      <c r="J187">
        <v>8</v>
      </c>
    </row>
    <row r="188" spans="1:10" x14ac:dyDescent="0.5">
      <c r="A188" t="s">
        <v>190</v>
      </c>
      <c r="B188">
        <v>46</v>
      </c>
      <c r="C188" t="s">
        <v>16</v>
      </c>
      <c r="D188">
        <v>3.6</v>
      </c>
      <c r="E188">
        <v>9</v>
      </c>
      <c r="F188">
        <v>5</v>
      </c>
      <c r="G188">
        <v>4</v>
      </c>
      <c r="H188">
        <v>5</v>
      </c>
      <c r="I188" t="s">
        <v>17</v>
      </c>
      <c r="J188">
        <v>10</v>
      </c>
    </row>
    <row r="189" spans="1:10" x14ac:dyDescent="0.5">
      <c r="A189" t="s">
        <v>191</v>
      </c>
      <c r="B189">
        <v>45</v>
      </c>
      <c r="C189" t="s">
        <v>16</v>
      </c>
      <c r="D189">
        <v>5.4</v>
      </c>
      <c r="E189">
        <v>7</v>
      </c>
      <c r="F189">
        <v>8</v>
      </c>
      <c r="G189">
        <v>3</v>
      </c>
      <c r="H189">
        <v>4</v>
      </c>
      <c r="I189" t="s">
        <v>12</v>
      </c>
      <c r="J189">
        <v>7</v>
      </c>
    </row>
    <row r="190" spans="1:10" x14ac:dyDescent="0.5">
      <c r="A190" t="s">
        <v>192</v>
      </c>
      <c r="B190">
        <v>22</v>
      </c>
      <c r="C190" t="s">
        <v>16</v>
      </c>
      <c r="D190">
        <v>6.2</v>
      </c>
      <c r="E190">
        <v>6</v>
      </c>
      <c r="F190">
        <v>9</v>
      </c>
      <c r="G190">
        <v>2</v>
      </c>
      <c r="H190">
        <v>2</v>
      </c>
      <c r="I190" t="s">
        <v>17</v>
      </c>
      <c r="J190">
        <v>6</v>
      </c>
    </row>
    <row r="191" spans="1:10" x14ac:dyDescent="0.5">
      <c r="A191" t="s">
        <v>193</v>
      </c>
      <c r="B191">
        <v>31</v>
      </c>
      <c r="C191" t="s">
        <v>16</v>
      </c>
      <c r="D191">
        <v>4.0999999999999996</v>
      </c>
      <c r="E191">
        <v>8</v>
      </c>
      <c r="F191">
        <v>6</v>
      </c>
      <c r="G191">
        <v>0</v>
      </c>
      <c r="H191">
        <v>4</v>
      </c>
      <c r="I191" t="s">
        <v>19</v>
      </c>
      <c r="J191">
        <v>10</v>
      </c>
    </row>
    <row r="192" spans="1:10" x14ac:dyDescent="0.5">
      <c r="A192" t="s">
        <v>194</v>
      </c>
      <c r="B192">
        <v>41</v>
      </c>
      <c r="C192" t="s">
        <v>11</v>
      </c>
      <c r="D192">
        <v>3.1</v>
      </c>
      <c r="E192">
        <v>7</v>
      </c>
      <c r="F192">
        <v>7</v>
      </c>
      <c r="G192">
        <v>2</v>
      </c>
      <c r="H192">
        <v>3</v>
      </c>
      <c r="I192" t="s">
        <v>14</v>
      </c>
      <c r="J192">
        <v>9</v>
      </c>
    </row>
    <row r="193" spans="1:10" x14ac:dyDescent="0.5">
      <c r="A193" t="s">
        <v>195</v>
      </c>
      <c r="B193">
        <v>17</v>
      </c>
      <c r="C193" t="s">
        <v>16</v>
      </c>
      <c r="D193">
        <v>4.9000000000000004</v>
      </c>
      <c r="E193">
        <v>7</v>
      </c>
      <c r="F193">
        <v>6</v>
      </c>
      <c r="G193">
        <v>3</v>
      </c>
      <c r="H193">
        <v>3</v>
      </c>
      <c r="I193" t="s">
        <v>19</v>
      </c>
      <c r="J193">
        <v>10</v>
      </c>
    </row>
    <row r="194" spans="1:10" x14ac:dyDescent="0.5">
      <c r="A194" t="s">
        <v>196</v>
      </c>
      <c r="B194">
        <v>16</v>
      </c>
      <c r="C194" t="s">
        <v>11</v>
      </c>
      <c r="D194">
        <v>4.2</v>
      </c>
      <c r="E194">
        <v>7</v>
      </c>
      <c r="F194">
        <v>7</v>
      </c>
      <c r="G194">
        <v>5</v>
      </c>
      <c r="H194">
        <v>3</v>
      </c>
      <c r="I194" t="s">
        <v>17</v>
      </c>
      <c r="J194">
        <v>8</v>
      </c>
    </row>
    <row r="195" spans="1:10" x14ac:dyDescent="0.5">
      <c r="A195" t="s">
        <v>197</v>
      </c>
      <c r="B195">
        <v>27</v>
      </c>
      <c r="C195" t="s">
        <v>11</v>
      </c>
      <c r="D195">
        <v>5.5</v>
      </c>
      <c r="E195">
        <v>6</v>
      </c>
      <c r="F195">
        <v>8</v>
      </c>
      <c r="G195">
        <v>3</v>
      </c>
      <c r="H195">
        <v>1</v>
      </c>
      <c r="I195" t="s">
        <v>17</v>
      </c>
      <c r="J195">
        <v>7</v>
      </c>
    </row>
    <row r="196" spans="1:10" x14ac:dyDescent="0.5">
      <c r="A196" t="s">
        <v>198</v>
      </c>
      <c r="B196">
        <v>20</v>
      </c>
      <c r="C196" t="s">
        <v>11</v>
      </c>
      <c r="D196">
        <v>2.6</v>
      </c>
      <c r="E196">
        <v>9</v>
      </c>
      <c r="F196">
        <v>4</v>
      </c>
      <c r="G196">
        <v>4</v>
      </c>
      <c r="H196">
        <v>1</v>
      </c>
      <c r="I196" t="s">
        <v>17</v>
      </c>
      <c r="J196">
        <v>10</v>
      </c>
    </row>
    <row r="197" spans="1:10" x14ac:dyDescent="0.5">
      <c r="A197" t="s">
        <v>199</v>
      </c>
      <c r="B197">
        <v>47</v>
      </c>
      <c r="C197" t="s">
        <v>16</v>
      </c>
      <c r="D197">
        <v>6.5</v>
      </c>
      <c r="E197">
        <v>5</v>
      </c>
      <c r="F197">
        <v>7</v>
      </c>
      <c r="G197">
        <v>2</v>
      </c>
      <c r="H197">
        <v>2</v>
      </c>
      <c r="I197" t="s">
        <v>13</v>
      </c>
      <c r="J197">
        <v>8</v>
      </c>
    </row>
    <row r="198" spans="1:10" x14ac:dyDescent="0.5">
      <c r="A198" t="s">
        <v>200</v>
      </c>
      <c r="B198">
        <v>24</v>
      </c>
      <c r="C198" t="s">
        <v>11</v>
      </c>
      <c r="D198">
        <v>4.4000000000000004</v>
      </c>
      <c r="E198">
        <v>8</v>
      </c>
      <c r="F198">
        <v>7</v>
      </c>
      <c r="G198">
        <v>6</v>
      </c>
      <c r="H198">
        <v>3</v>
      </c>
      <c r="I198" t="s">
        <v>23</v>
      </c>
      <c r="J198">
        <v>10</v>
      </c>
    </row>
    <row r="199" spans="1:10" x14ac:dyDescent="0.5">
      <c r="A199" t="s">
        <v>201</v>
      </c>
      <c r="B199">
        <v>34</v>
      </c>
      <c r="C199" t="s">
        <v>11</v>
      </c>
      <c r="D199">
        <v>7.3</v>
      </c>
      <c r="E199">
        <v>5</v>
      </c>
      <c r="F199">
        <v>7</v>
      </c>
      <c r="G199">
        <v>1</v>
      </c>
      <c r="H199">
        <v>1</v>
      </c>
      <c r="I199" t="s">
        <v>14</v>
      </c>
      <c r="J199">
        <v>6</v>
      </c>
    </row>
    <row r="200" spans="1:10" x14ac:dyDescent="0.5">
      <c r="A200" t="s">
        <v>202</v>
      </c>
      <c r="B200">
        <v>31</v>
      </c>
      <c r="C200" t="s">
        <v>16</v>
      </c>
      <c r="D200">
        <v>5</v>
      </c>
      <c r="E200">
        <v>7</v>
      </c>
      <c r="F200">
        <v>5</v>
      </c>
      <c r="G200">
        <v>2</v>
      </c>
      <c r="H200">
        <v>3</v>
      </c>
      <c r="I200" t="s">
        <v>19</v>
      </c>
      <c r="J200">
        <v>10</v>
      </c>
    </row>
    <row r="201" spans="1:10" x14ac:dyDescent="0.5">
      <c r="A201" t="s">
        <v>203</v>
      </c>
      <c r="B201">
        <v>18</v>
      </c>
      <c r="C201" t="s">
        <v>11</v>
      </c>
      <c r="D201">
        <v>5.5</v>
      </c>
      <c r="E201">
        <v>5</v>
      </c>
      <c r="F201">
        <v>6</v>
      </c>
      <c r="G201">
        <v>2</v>
      </c>
      <c r="H201">
        <v>6</v>
      </c>
      <c r="I201" t="s">
        <v>19</v>
      </c>
      <c r="J201">
        <v>9</v>
      </c>
    </row>
    <row r="202" spans="1:10" x14ac:dyDescent="0.5">
      <c r="A202" t="s">
        <v>204</v>
      </c>
      <c r="B202">
        <v>35</v>
      </c>
      <c r="C202" t="s">
        <v>16</v>
      </c>
      <c r="D202">
        <v>5.2</v>
      </c>
      <c r="E202">
        <v>7</v>
      </c>
      <c r="F202">
        <v>6</v>
      </c>
      <c r="G202">
        <v>4</v>
      </c>
      <c r="H202">
        <v>0</v>
      </c>
      <c r="I202" t="s">
        <v>12</v>
      </c>
      <c r="J202">
        <v>10</v>
      </c>
    </row>
    <row r="203" spans="1:10" x14ac:dyDescent="0.5">
      <c r="A203" t="s">
        <v>205</v>
      </c>
      <c r="B203">
        <v>39</v>
      </c>
      <c r="C203" t="s">
        <v>11</v>
      </c>
      <c r="D203">
        <v>4.3</v>
      </c>
      <c r="E203">
        <v>9</v>
      </c>
      <c r="F203">
        <v>7</v>
      </c>
      <c r="G203">
        <v>1</v>
      </c>
      <c r="H203">
        <v>3</v>
      </c>
      <c r="I203" t="s">
        <v>17</v>
      </c>
      <c r="J203">
        <v>9</v>
      </c>
    </row>
    <row r="204" spans="1:10" x14ac:dyDescent="0.5">
      <c r="A204" t="s">
        <v>206</v>
      </c>
      <c r="B204">
        <v>48</v>
      </c>
      <c r="C204" t="s">
        <v>16</v>
      </c>
      <c r="D204">
        <v>10</v>
      </c>
      <c r="E204">
        <v>3</v>
      </c>
      <c r="F204">
        <v>10</v>
      </c>
      <c r="G204">
        <v>3</v>
      </c>
      <c r="H204">
        <v>2</v>
      </c>
      <c r="I204" t="s">
        <v>17</v>
      </c>
      <c r="J204">
        <v>4</v>
      </c>
    </row>
    <row r="205" spans="1:10" x14ac:dyDescent="0.5">
      <c r="A205" t="s">
        <v>207</v>
      </c>
      <c r="B205">
        <v>39</v>
      </c>
      <c r="C205" t="s">
        <v>16</v>
      </c>
      <c r="D205">
        <v>4.5999999999999996</v>
      </c>
      <c r="E205">
        <v>6</v>
      </c>
      <c r="F205">
        <v>7</v>
      </c>
      <c r="G205">
        <v>3</v>
      </c>
      <c r="H205">
        <v>3</v>
      </c>
      <c r="I205" t="s">
        <v>17</v>
      </c>
      <c r="J205">
        <v>6</v>
      </c>
    </row>
    <row r="206" spans="1:10" x14ac:dyDescent="0.5">
      <c r="A206" t="s">
        <v>208</v>
      </c>
      <c r="B206">
        <v>26</v>
      </c>
      <c r="C206" t="s">
        <v>11</v>
      </c>
      <c r="D206">
        <v>7.3</v>
      </c>
      <c r="E206">
        <v>5</v>
      </c>
      <c r="F206">
        <v>8</v>
      </c>
      <c r="G206">
        <v>2</v>
      </c>
      <c r="H206">
        <v>2</v>
      </c>
      <c r="I206" t="s">
        <v>19</v>
      </c>
      <c r="J206">
        <v>7</v>
      </c>
    </row>
    <row r="207" spans="1:10" x14ac:dyDescent="0.5">
      <c r="A207" t="s">
        <v>209</v>
      </c>
      <c r="B207">
        <v>23</v>
      </c>
      <c r="C207" t="s">
        <v>11</v>
      </c>
      <c r="D207">
        <v>3.5</v>
      </c>
      <c r="E207">
        <v>9</v>
      </c>
      <c r="F207">
        <v>5</v>
      </c>
      <c r="G207">
        <v>4</v>
      </c>
      <c r="H207">
        <v>2</v>
      </c>
      <c r="I207" t="s">
        <v>12</v>
      </c>
      <c r="J207">
        <v>10</v>
      </c>
    </row>
    <row r="208" spans="1:10" x14ac:dyDescent="0.5">
      <c r="A208" t="s">
        <v>210</v>
      </c>
      <c r="B208">
        <v>35</v>
      </c>
      <c r="C208" t="s">
        <v>11</v>
      </c>
      <c r="D208">
        <v>6.2</v>
      </c>
      <c r="E208">
        <v>4</v>
      </c>
      <c r="F208">
        <v>8</v>
      </c>
      <c r="G208">
        <v>1</v>
      </c>
      <c r="H208">
        <v>3</v>
      </c>
      <c r="I208" t="s">
        <v>23</v>
      </c>
      <c r="J208">
        <v>7</v>
      </c>
    </row>
    <row r="209" spans="1:10" x14ac:dyDescent="0.5">
      <c r="A209" t="s">
        <v>211</v>
      </c>
      <c r="B209">
        <v>40</v>
      </c>
      <c r="C209" t="s">
        <v>11</v>
      </c>
      <c r="D209">
        <v>6.4</v>
      </c>
      <c r="E209">
        <v>5</v>
      </c>
      <c r="F209">
        <v>8</v>
      </c>
      <c r="G209">
        <v>1</v>
      </c>
      <c r="H209">
        <v>2</v>
      </c>
      <c r="I209" t="s">
        <v>13</v>
      </c>
      <c r="J209">
        <v>7</v>
      </c>
    </row>
    <row r="210" spans="1:10" x14ac:dyDescent="0.5">
      <c r="A210" t="s">
        <v>505</v>
      </c>
      <c r="B210">
        <v>40</v>
      </c>
      <c r="C210" t="s">
        <v>496</v>
      </c>
      <c r="D210">
        <v>5.5</v>
      </c>
      <c r="E210">
        <v>6</v>
      </c>
      <c r="F210">
        <v>7</v>
      </c>
      <c r="G210">
        <v>3</v>
      </c>
      <c r="H210">
        <v>0</v>
      </c>
      <c r="I210" t="s">
        <v>14</v>
      </c>
      <c r="J210">
        <v>9</v>
      </c>
    </row>
    <row r="211" spans="1:10" x14ac:dyDescent="0.5">
      <c r="A211" t="s">
        <v>212</v>
      </c>
      <c r="B211">
        <v>44</v>
      </c>
      <c r="C211" t="s">
        <v>11</v>
      </c>
      <c r="D211">
        <v>4.5</v>
      </c>
      <c r="E211">
        <v>6</v>
      </c>
      <c r="F211">
        <v>6</v>
      </c>
      <c r="G211">
        <v>0</v>
      </c>
      <c r="H211">
        <v>2</v>
      </c>
      <c r="I211" t="s">
        <v>23</v>
      </c>
      <c r="J211">
        <v>9</v>
      </c>
    </row>
    <row r="212" spans="1:10" x14ac:dyDescent="0.5">
      <c r="A212" t="s">
        <v>213</v>
      </c>
      <c r="B212">
        <v>33</v>
      </c>
      <c r="C212" t="s">
        <v>16</v>
      </c>
      <c r="D212">
        <v>5</v>
      </c>
      <c r="E212">
        <v>6</v>
      </c>
      <c r="F212">
        <v>6</v>
      </c>
      <c r="G212">
        <v>0</v>
      </c>
      <c r="H212">
        <v>0</v>
      </c>
      <c r="I212" t="s">
        <v>19</v>
      </c>
      <c r="J212">
        <v>8</v>
      </c>
    </row>
    <row r="213" spans="1:10" x14ac:dyDescent="0.5">
      <c r="A213" t="s">
        <v>214</v>
      </c>
      <c r="B213">
        <v>33</v>
      </c>
      <c r="C213" t="s">
        <v>11</v>
      </c>
      <c r="D213">
        <v>4.8</v>
      </c>
      <c r="E213">
        <v>5</v>
      </c>
      <c r="F213">
        <v>6</v>
      </c>
      <c r="G213">
        <v>4</v>
      </c>
      <c r="H213">
        <v>3</v>
      </c>
      <c r="I213" t="s">
        <v>13</v>
      </c>
      <c r="J213">
        <v>9</v>
      </c>
    </row>
    <row r="214" spans="1:10" x14ac:dyDescent="0.5">
      <c r="A214" t="s">
        <v>215</v>
      </c>
      <c r="B214">
        <v>17</v>
      </c>
      <c r="C214" t="s">
        <v>16</v>
      </c>
      <c r="D214">
        <v>9.8000000000000007</v>
      </c>
      <c r="E214">
        <v>4</v>
      </c>
      <c r="F214">
        <v>9</v>
      </c>
      <c r="G214">
        <v>5</v>
      </c>
      <c r="H214">
        <v>0</v>
      </c>
      <c r="I214" t="s">
        <v>13</v>
      </c>
      <c r="J214">
        <v>6</v>
      </c>
    </row>
    <row r="215" spans="1:10" x14ac:dyDescent="0.5">
      <c r="A215" t="s">
        <v>216</v>
      </c>
      <c r="B215">
        <v>31</v>
      </c>
      <c r="C215" t="s">
        <v>16</v>
      </c>
      <c r="D215">
        <v>5.5</v>
      </c>
      <c r="E215">
        <v>7</v>
      </c>
      <c r="F215">
        <v>7</v>
      </c>
      <c r="G215">
        <v>2</v>
      </c>
      <c r="H215">
        <v>4</v>
      </c>
      <c r="I215" t="s">
        <v>13</v>
      </c>
      <c r="J215">
        <v>9</v>
      </c>
    </row>
    <row r="216" spans="1:10" x14ac:dyDescent="0.5">
      <c r="A216" t="s">
        <v>217</v>
      </c>
      <c r="B216">
        <v>48</v>
      </c>
      <c r="C216" t="s">
        <v>16</v>
      </c>
      <c r="D216">
        <v>6.4</v>
      </c>
      <c r="E216">
        <v>4</v>
      </c>
      <c r="F216">
        <v>6</v>
      </c>
      <c r="G216">
        <v>2</v>
      </c>
      <c r="H216">
        <v>3</v>
      </c>
      <c r="I216" t="s">
        <v>17</v>
      </c>
      <c r="J216">
        <v>7</v>
      </c>
    </row>
    <row r="217" spans="1:10" x14ac:dyDescent="0.5">
      <c r="A217" t="s">
        <v>218</v>
      </c>
      <c r="B217">
        <v>19</v>
      </c>
      <c r="C217" t="s">
        <v>16</v>
      </c>
      <c r="D217">
        <v>8.6999999999999993</v>
      </c>
      <c r="E217">
        <v>6</v>
      </c>
      <c r="F217">
        <v>7</v>
      </c>
      <c r="G217">
        <v>5</v>
      </c>
      <c r="H217">
        <v>3</v>
      </c>
      <c r="I217" t="s">
        <v>14</v>
      </c>
      <c r="J217">
        <v>10</v>
      </c>
    </row>
    <row r="218" spans="1:10" x14ac:dyDescent="0.5">
      <c r="A218" t="s">
        <v>219</v>
      </c>
      <c r="B218">
        <v>48</v>
      </c>
      <c r="C218" t="s">
        <v>11</v>
      </c>
      <c r="D218">
        <v>3.9</v>
      </c>
      <c r="E218">
        <v>9</v>
      </c>
      <c r="F218">
        <v>5</v>
      </c>
      <c r="G218">
        <v>1</v>
      </c>
      <c r="H218">
        <v>0</v>
      </c>
      <c r="I218" t="s">
        <v>19</v>
      </c>
      <c r="J218">
        <v>10</v>
      </c>
    </row>
    <row r="219" spans="1:10" x14ac:dyDescent="0.5">
      <c r="A219" t="s">
        <v>220</v>
      </c>
      <c r="B219">
        <v>29</v>
      </c>
      <c r="C219" t="s">
        <v>11</v>
      </c>
      <c r="D219">
        <v>5.6</v>
      </c>
      <c r="E219">
        <v>6</v>
      </c>
      <c r="F219">
        <v>6</v>
      </c>
      <c r="G219">
        <v>0</v>
      </c>
      <c r="H219">
        <v>2</v>
      </c>
      <c r="I219" t="s">
        <v>19</v>
      </c>
      <c r="J219">
        <v>8</v>
      </c>
    </row>
    <row r="220" spans="1:10" x14ac:dyDescent="0.5">
      <c r="A220" t="s">
        <v>221</v>
      </c>
      <c r="B220">
        <v>36</v>
      </c>
      <c r="C220" t="s">
        <v>16</v>
      </c>
      <c r="D220">
        <v>5</v>
      </c>
      <c r="E220">
        <v>8</v>
      </c>
      <c r="F220">
        <v>6</v>
      </c>
      <c r="G220">
        <v>4</v>
      </c>
      <c r="H220">
        <v>4</v>
      </c>
      <c r="I220" t="s">
        <v>13</v>
      </c>
      <c r="J220">
        <v>10</v>
      </c>
    </row>
    <row r="221" spans="1:10" x14ac:dyDescent="0.5">
      <c r="A221" t="s">
        <v>222</v>
      </c>
      <c r="B221">
        <v>35</v>
      </c>
      <c r="C221" t="s">
        <v>16</v>
      </c>
      <c r="D221">
        <v>5.3</v>
      </c>
      <c r="E221">
        <v>6</v>
      </c>
      <c r="F221">
        <v>6</v>
      </c>
      <c r="G221">
        <v>3</v>
      </c>
      <c r="H221">
        <v>2</v>
      </c>
      <c r="I221" t="s">
        <v>19</v>
      </c>
      <c r="J221">
        <v>9</v>
      </c>
    </row>
    <row r="222" spans="1:10" x14ac:dyDescent="0.5">
      <c r="A222" t="s">
        <v>504</v>
      </c>
      <c r="B222">
        <v>23</v>
      </c>
      <c r="C222" t="s">
        <v>496</v>
      </c>
      <c r="D222">
        <v>5.2</v>
      </c>
      <c r="E222">
        <v>7</v>
      </c>
      <c r="F222">
        <v>6</v>
      </c>
      <c r="G222">
        <v>5</v>
      </c>
      <c r="H222">
        <v>1</v>
      </c>
      <c r="I222" t="s">
        <v>14</v>
      </c>
      <c r="J222">
        <v>9</v>
      </c>
    </row>
    <row r="223" spans="1:10" x14ac:dyDescent="0.5">
      <c r="A223" t="s">
        <v>223</v>
      </c>
      <c r="B223">
        <v>22</v>
      </c>
      <c r="C223" t="s">
        <v>11</v>
      </c>
      <c r="D223">
        <v>4.2</v>
      </c>
      <c r="E223">
        <v>6</v>
      </c>
      <c r="F223">
        <v>6</v>
      </c>
      <c r="G223">
        <v>0</v>
      </c>
      <c r="H223">
        <v>2</v>
      </c>
      <c r="I223" t="s">
        <v>14</v>
      </c>
      <c r="J223">
        <v>8</v>
      </c>
    </row>
    <row r="224" spans="1:10" x14ac:dyDescent="0.5">
      <c r="A224" t="s">
        <v>224</v>
      </c>
      <c r="B224">
        <v>18</v>
      </c>
      <c r="C224" t="s">
        <v>16</v>
      </c>
      <c r="D224">
        <v>5.9</v>
      </c>
      <c r="E224">
        <v>8</v>
      </c>
      <c r="F224">
        <v>6</v>
      </c>
      <c r="G224">
        <v>0</v>
      </c>
      <c r="H224">
        <v>2</v>
      </c>
      <c r="I224" t="s">
        <v>12</v>
      </c>
      <c r="J224">
        <v>8</v>
      </c>
    </row>
    <row r="225" spans="1:10" x14ac:dyDescent="0.5">
      <c r="A225" t="s">
        <v>225</v>
      </c>
      <c r="B225">
        <v>32</v>
      </c>
      <c r="C225" t="s">
        <v>16</v>
      </c>
      <c r="D225">
        <v>3.6</v>
      </c>
      <c r="E225">
        <v>7</v>
      </c>
      <c r="F225">
        <v>5</v>
      </c>
      <c r="G225">
        <v>3</v>
      </c>
      <c r="H225">
        <v>1</v>
      </c>
      <c r="I225" t="s">
        <v>12</v>
      </c>
      <c r="J225">
        <v>10</v>
      </c>
    </row>
    <row r="226" spans="1:10" x14ac:dyDescent="0.5">
      <c r="A226" t="s">
        <v>226</v>
      </c>
      <c r="B226">
        <v>48</v>
      </c>
      <c r="C226" t="s">
        <v>11</v>
      </c>
      <c r="D226">
        <v>7.3</v>
      </c>
      <c r="E226">
        <v>5</v>
      </c>
      <c r="F226">
        <v>9</v>
      </c>
      <c r="G226">
        <v>4</v>
      </c>
      <c r="H226">
        <v>4</v>
      </c>
      <c r="I226" t="s">
        <v>23</v>
      </c>
      <c r="J226">
        <v>5</v>
      </c>
    </row>
    <row r="227" spans="1:10" x14ac:dyDescent="0.5">
      <c r="A227" t="s">
        <v>227</v>
      </c>
      <c r="B227">
        <v>27</v>
      </c>
      <c r="C227" t="s">
        <v>11</v>
      </c>
      <c r="D227">
        <v>6.6</v>
      </c>
      <c r="E227">
        <v>5</v>
      </c>
      <c r="F227">
        <v>7</v>
      </c>
      <c r="G227">
        <v>5</v>
      </c>
      <c r="H227">
        <v>2</v>
      </c>
      <c r="I227" t="s">
        <v>14</v>
      </c>
      <c r="J227">
        <v>7</v>
      </c>
    </row>
    <row r="228" spans="1:10" x14ac:dyDescent="0.5">
      <c r="A228" t="s">
        <v>228</v>
      </c>
      <c r="B228">
        <v>37</v>
      </c>
      <c r="C228" t="s">
        <v>16</v>
      </c>
      <c r="D228">
        <v>4.5999999999999996</v>
      </c>
      <c r="E228">
        <v>9</v>
      </c>
      <c r="F228">
        <v>6</v>
      </c>
      <c r="G228">
        <v>3</v>
      </c>
      <c r="H228">
        <v>2</v>
      </c>
      <c r="I228" t="s">
        <v>14</v>
      </c>
      <c r="J228">
        <v>8</v>
      </c>
    </row>
    <row r="229" spans="1:10" x14ac:dyDescent="0.5">
      <c r="A229" t="s">
        <v>229</v>
      </c>
      <c r="B229">
        <v>37</v>
      </c>
      <c r="C229" t="s">
        <v>16</v>
      </c>
      <c r="D229">
        <v>4.7</v>
      </c>
      <c r="E229">
        <v>9</v>
      </c>
      <c r="F229">
        <v>6</v>
      </c>
      <c r="G229">
        <v>3</v>
      </c>
      <c r="H229">
        <v>1</v>
      </c>
      <c r="I229" t="s">
        <v>14</v>
      </c>
      <c r="J229">
        <v>10</v>
      </c>
    </row>
    <row r="230" spans="1:10" x14ac:dyDescent="0.5">
      <c r="A230" t="s">
        <v>230</v>
      </c>
      <c r="B230">
        <v>45</v>
      </c>
      <c r="C230" t="s">
        <v>16</v>
      </c>
      <c r="D230">
        <v>6</v>
      </c>
      <c r="E230">
        <v>8</v>
      </c>
      <c r="F230">
        <v>7</v>
      </c>
      <c r="G230">
        <v>2</v>
      </c>
      <c r="H230">
        <v>3</v>
      </c>
      <c r="I230" t="s">
        <v>12</v>
      </c>
      <c r="J230">
        <v>9</v>
      </c>
    </row>
    <row r="231" spans="1:10" x14ac:dyDescent="0.5">
      <c r="A231" t="s">
        <v>231</v>
      </c>
      <c r="B231">
        <v>23</v>
      </c>
      <c r="C231" t="s">
        <v>11</v>
      </c>
      <c r="D231">
        <v>4.0999999999999996</v>
      </c>
      <c r="E231">
        <v>8</v>
      </c>
      <c r="F231">
        <v>5</v>
      </c>
      <c r="G231">
        <v>6</v>
      </c>
      <c r="H231">
        <v>3</v>
      </c>
      <c r="I231" t="s">
        <v>13</v>
      </c>
      <c r="J231">
        <v>10</v>
      </c>
    </row>
    <row r="232" spans="1:10" x14ac:dyDescent="0.5">
      <c r="A232" t="s">
        <v>232</v>
      </c>
      <c r="B232">
        <v>42</v>
      </c>
      <c r="C232" t="s">
        <v>16</v>
      </c>
      <c r="D232">
        <v>8.8000000000000007</v>
      </c>
      <c r="E232">
        <v>4</v>
      </c>
      <c r="F232">
        <v>8</v>
      </c>
      <c r="G232">
        <v>1</v>
      </c>
      <c r="H232">
        <v>1</v>
      </c>
      <c r="I232" t="s">
        <v>13</v>
      </c>
      <c r="J232">
        <v>6</v>
      </c>
    </row>
    <row r="233" spans="1:10" x14ac:dyDescent="0.5">
      <c r="A233" t="s">
        <v>233</v>
      </c>
      <c r="B233">
        <v>42</v>
      </c>
      <c r="C233" t="s">
        <v>11</v>
      </c>
      <c r="D233">
        <v>6.1</v>
      </c>
      <c r="E233">
        <v>7</v>
      </c>
      <c r="F233">
        <v>6</v>
      </c>
      <c r="G233">
        <v>4</v>
      </c>
      <c r="H233">
        <v>0</v>
      </c>
      <c r="I233" t="s">
        <v>19</v>
      </c>
      <c r="J233">
        <v>8</v>
      </c>
    </row>
    <row r="234" spans="1:10" x14ac:dyDescent="0.5">
      <c r="A234" t="s">
        <v>234</v>
      </c>
      <c r="B234">
        <v>49</v>
      </c>
      <c r="C234" t="s">
        <v>11</v>
      </c>
      <c r="D234">
        <v>6.2</v>
      </c>
      <c r="E234">
        <v>6</v>
      </c>
      <c r="F234">
        <v>8</v>
      </c>
      <c r="G234">
        <v>1</v>
      </c>
      <c r="H234">
        <v>3</v>
      </c>
      <c r="I234" t="s">
        <v>13</v>
      </c>
      <c r="J234">
        <v>8</v>
      </c>
    </row>
    <row r="235" spans="1:10" x14ac:dyDescent="0.5">
      <c r="A235" t="s">
        <v>235</v>
      </c>
      <c r="B235">
        <v>36</v>
      </c>
      <c r="C235" t="s">
        <v>11</v>
      </c>
      <c r="D235">
        <v>6.7</v>
      </c>
      <c r="E235">
        <v>7</v>
      </c>
      <c r="F235">
        <v>7</v>
      </c>
      <c r="G235">
        <v>4</v>
      </c>
      <c r="H235">
        <v>2</v>
      </c>
      <c r="I235" t="s">
        <v>17</v>
      </c>
      <c r="J235">
        <v>8</v>
      </c>
    </row>
    <row r="236" spans="1:10" x14ac:dyDescent="0.5">
      <c r="A236" t="s">
        <v>236</v>
      </c>
      <c r="B236">
        <v>45</v>
      </c>
      <c r="C236" t="s">
        <v>16</v>
      </c>
      <c r="D236">
        <v>4.5</v>
      </c>
      <c r="E236">
        <v>8</v>
      </c>
      <c r="F236">
        <v>6</v>
      </c>
      <c r="G236">
        <v>1</v>
      </c>
      <c r="H236">
        <v>3</v>
      </c>
      <c r="I236" t="s">
        <v>12</v>
      </c>
      <c r="J236">
        <v>10</v>
      </c>
    </row>
    <row r="237" spans="1:10" x14ac:dyDescent="0.5">
      <c r="A237" t="s">
        <v>237</v>
      </c>
      <c r="B237">
        <v>48</v>
      </c>
      <c r="C237" t="s">
        <v>16</v>
      </c>
      <c r="D237">
        <v>7.5</v>
      </c>
      <c r="E237">
        <v>4</v>
      </c>
      <c r="F237">
        <v>9</v>
      </c>
      <c r="G237">
        <v>4</v>
      </c>
      <c r="H237">
        <v>5</v>
      </c>
      <c r="I237" t="s">
        <v>14</v>
      </c>
      <c r="J237">
        <v>5</v>
      </c>
    </row>
    <row r="238" spans="1:10" x14ac:dyDescent="0.5">
      <c r="A238" t="s">
        <v>238</v>
      </c>
      <c r="B238">
        <v>43</v>
      </c>
      <c r="C238" t="s">
        <v>16</v>
      </c>
      <c r="D238">
        <v>5.7</v>
      </c>
      <c r="E238">
        <v>7</v>
      </c>
      <c r="F238">
        <v>7</v>
      </c>
      <c r="G238">
        <v>3</v>
      </c>
      <c r="H238">
        <v>2</v>
      </c>
      <c r="I238" t="s">
        <v>13</v>
      </c>
      <c r="J238">
        <v>9</v>
      </c>
    </row>
    <row r="239" spans="1:10" x14ac:dyDescent="0.5">
      <c r="A239" t="s">
        <v>239</v>
      </c>
      <c r="B239">
        <v>48</v>
      </c>
      <c r="C239" t="s">
        <v>11</v>
      </c>
      <c r="D239">
        <v>7.2</v>
      </c>
      <c r="E239">
        <v>6</v>
      </c>
      <c r="F239">
        <v>8</v>
      </c>
      <c r="G239">
        <v>6</v>
      </c>
      <c r="H239">
        <v>2</v>
      </c>
      <c r="I239" t="s">
        <v>12</v>
      </c>
      <c r="J239">
        <v>9</v>
      </c>
    </row>
    <row r="240" spans="1:10" x14ac:dyDescent="0.5">
      <c r="A240" t="s">
        <v>240</v>
      </c>
      <c r="B240">
        <v>20</v>
      </c>
      <c r="C240" t="s">
        <v>16</v>
      </c>
      <c r="D240">
        <v>5.0999999999999996</v>
      </c>
      <c r="E240">
        <v>4</v>
      </c>
      <c r="F240">
        <v>5</v>
      </c>
      <c r="G240">
        <v>2</v>
      </c>
      <c r="H240">
        <v>1</v>
      </c>
      <c r="I240" t="s">
        <v>13</v>
      </c>
      <c r="J240">
        <v>9</v>
      </c>
    </row>
    <row r="241" spans="1:10" x14ac:dyDescent="0.5">
      <c r="A241" t="s">
        <v>241</v>
      </c>
      <c r="B241">
        <v>34</v>
      </c>
      <c r="C241" t="s">
        <v>11</v>
      </c>
      <c r="D241">
        <v>7.9</v>
      </c>
      <c r="E241">
        <v>6</v>
      </c>
      <c r="F241">
        <v>8</v>
      </c>
      <c r="G241">
        <v>4</v>
      </c>
      <c r="H241">
        <v>2</v>
      </c>
      <c r="I241" t="s">
        <v>23</v>
      </c>
      <c r="J241">
        <v>7</v>
      </c>
    </row>
    <row r="242" spans="1:10" x14ac:dyDescent="0.5">
      <c r="A242" t="s">
        <v>242</v>
      </c>
      <c r="B242">
        <v>19</v>
      </c>
      <c r="C242" t="s">
        <v>16</v>
      </c>
      <c r="D242">
        <v>6.2</v>
      </c>
      <c r="E242">
        <v>5</v>
      </c>
      <c r="F242">
        <v>7</v>
      </c>
      <c r="G242">
        <v>1</v>
      </c>
      <c r="H242">
        <v>3</v>
      </c>
      <c r="I242" t="s">
        <v>14</v>
      </c>
      <c r="J242">
        <v>8</v>
      </c>
    </row>
    <row r="243" spans="1:10" x14ac:dyDescent="0.5">
      <c r="A243" t="s">
        <v>243</v>
      </c>
      <c r="B243">
        <v>32</v>
      </c>
      <c r="C243" t="s">
        <v>11</v>
      </c>
      <c r="D243">
        <v>9.4</v>
      </c>
      <c r="E243">
        <v>3</v>
      </c>
      <c r="F243">
        <v>9</v>
      </c>
      <c r="G243">
        <v>2</v>
      </c>
      <c r="H243">
        <v>3</v>
      </c>
      <c r="I243" t="s">
        <v>23</v>
      </c>
      <c r="J243">
        <v>5</v>
      </c>
    </row>
    <row r="244" spans="1:10" x14ac:dyDescent="0.5">
      <c r="A244" t="s">
        <v>244</v>
      </c>
      <c r="B244">
        <v>43</v>
      </c>
      <c r="C244" t="s">
        <v>11</v>
      </c>
      <c r="D244">
        <v>4.8</v>
      </c>
      <c r="E244">
        <v>6</v>
      </c>
      <c r="F244">
        <v>5</v>
      </c>
      <c r="G244">
        <v>3</v>
      </c>
      <c r="H244">
        <v>5</v>
      </c>
      <c r="I244" t="s">
        <v>14</v>
      </c>
      <c r="J244">
        <v>10</v>
      </c>
    </row>
    <row r="245" spans="1:10" x14ac:dyDescent="0.5">
      <c r="A245" t="s">
        <v>245</v>
      </c>
      <c r="B245">
        <v>45</v>
      </c>
      <c r="C245" t="s">
        <v>11</v>
      </c>
      <c r="D245">
        <v>5.9</v>
      </c>
      <c r="E245">
        <v>6</v>
      </c>
      <c r="F245">
        <v>8</v>
      </c>
      <c r="G245">
        <v>0</v>
      </c>
      <c r="H245">
        <v>3</v>
      </c>
      <c r="I245" t="s">
        <v>12</v>
      </c>
      <c r="J245">
        <v>7</v>
      </c>
    </row>
    <row r="246" spans="1:10" x14ac:dyDescent="0.5">
      <c r="A246" t="s">
        <v>246</v>
      </c>
      <c r="B246">
        <v>44</v>
      </c>
      <c r="C246" t="s">
        <v>11</v>
      </c>
      <c r="D246">
        <v>3.6</v>
      </c>
      <c r="E246">
        <v>8</v>
      </c>
      <c r="F246">
        <v>5</v>
      </c>
      <c r="G246">
        <v>0</v>
      </c>
      <c r="H246">
        <v>2</v>
      </c>
      <c r="I246" t="s">
        <v>19</v>
      </c>
      <c r="J246">
        <v>10</v>
      </c>
    </row>
    <row r="247" spans="1:10" x14ac:dyDescent="0.5">
      <c r="A247" t="s">
        <v>247</v>
      </c>
      <c r="B247">
        <v>21</v>
      </c>
      <c r="C247" t="s">
        <v>16</v>
      </c>
      <c r="D247">
        <v>4.5</v>
      </c>
      <c r="E247">
        <v>6</v>
      </c>
      <c r="F247">
        <v>6</v>
      </c>
      <c r="G247">
        <v>4</v>
      </c>
      <c r="H247">
        <v>1</v>
      </c>
      <c r="I247" t="s">
        <v>13</v>
      </c>
      <c r="J247">
        <v>9</v>
      </c>
    </row>
    <row r="248" spans="1:10" x14ac:dyDescent="0.5">
      <c r="A248" t="s">
        <v>248</v>
      </c>
      <c r="B248">
        <v>39</v>
      </c>
      <c r="C248" t="s">
        <v>16</v>
      </c>
      <c r="D248">
        <v>6.6</v>
      </c>
      <c r="E248">
        <v>6</v>
      </c>
      <c r="F248">
        <v>7</v>
      </c>
      <c r="G248">
        <v>3</v>
      </c>
      <c r="H248">
        <v>3</v>
      </c>
      <c r="I248" t="s">
        <v>13</v>
      </c>
      <c r="J248">
        <v>7</v>
      </c>
    </row>
    <row r="249" spans="1:10" x14ac:dyDescent="0.5">
      <c r="A249" t="s">
        <v>249</v>
      </c>
      <c r="B249">
        <v>44</v>
      </c>
      <c r="C249" t="s">
        <v>11</v>
      </c>
      <c r="D249">
        <v>7.5</v>
      </c>
      <c r="E249">
        <v>6</v>
      </c>
      <c r="F249">
        <v>9</v>
      </c>
      <c r="G249">
        <v>2</v>
      </c>
      <c r="H249">
        <v>1</v>
      </c>
      <c r="I249" t="s">
        <v>17</v>
      </c>
      <c r="J249">
        <v>6</v>
      </c>
    </row>
    <row r="250" spans="1:10" x14ac:dyDescent="0.5">
      <c r="A250" t="s">
        <v>250</v>
      </c>
      <c r="B250">
        <v>46</v>
      </c>
      <c r="C250" t="s">
        <v>16</v>
      </c>
      <c r="D250">
        <v>10.8</v>
      </c>
      <c r="E250">
        <v>5</v>
      </c>
      <c r="F250">
        <v>10</v>
      </c>
      <c r="G250">
        <v>2</v>
      </c>
      <c r="H250">
        <v>3</v>
      </c>
      <c r="I250" t="s">
        <v>23</v>
      </c>
      <c r="J250">
        <v>4</v>
      </c>
    </row>
    <row r="251" spans="1:10" x14ac:dyDescent="0.5">
      <c r="A251" t="s">
        <v>251</v>
      </c>
      <c r="B251">
        <v>48</v>
      </c>
      <c r="C251" t="s">
        <v>11</v>
      </c>
      <c r="D251">
        <v>5.3</v>
      </c>
      <c r="E251">
        <v>5</v>
      </c>
      <c r="F251">
        <v>5</v>
      </c>
      <c r="G251">
        <v>2</v>
      </c>
      <c r="H251">
        <v>3</v>
      </c>
      <c r="I251" t="s">
        <v>13</v>
      </c>
      <c r="J251">
        <v>8</v>
      </c>
    </row>
    <row r="252" spans="1:10" x14ac:dyDescent="0.5">
      <c r="A252" t="s">
        <v>252</v>
      </c>
      <c r="B252">
        <v>36</v>
      </c>
      <c r="C252" t="s">
        <v>16</v>
      </c>
      <c r="D252">
        <v>3.8</v>
      </c>
      <c r="E252">
        <v>7</v>
      </c>
      <c r="F252">
        <v>5</v>
      </c>
      <c r="G252">
        <v>3</v>
      </c>
      <c r="H252">
        <v>2</v>
      </c>
      <c r="I252" t="s">
        <v>12</v>
      </c>
      <c r="J252">
        <v>9</v>
      </c>
    </row>
    <row r="253" spans="1:10" x14ac:dyDescent="0.5">
      <c r="A253" t="s">
        <v>253</v>
      </c>
      <c r="B253">
        <v>47</v>
      </c>
      <c r="C253" t="s">
        <v>16</v>
      </c>
      <c r="D253">
        <v>6.9</v>
      </c>
      <c r="E253">
        <v>6</v>
      </c>
      <c r="F253">
        <v>8</v>
      </c>
      <c r="G253">
        <v>4</v>
      </c>
      <c r="H253">
        <v>2</v>
      </c>
      <c r="I253" t="s">
        <v>19</v>
      </c>
      <c r="J253">
        <v>8</v>
      </c>
    </row>
    <row r="254" spans="1:10" x14ac:dyDescent="0.5">
      <c r="A254" t="s">
        <v>254</v>
      </c>
      <c r="B254">
        <v>38</v>
      </c>
      <c r="C254" t="s">
        <v>16</v>
      </c>
      <c r="D254">
        <v>3.5</v>
      </c>
      <c r="E254">
        <v>9</v>
      </c>
      <c r="F254">
        <v>4</v>
      </c>
      <c r="G254">
        <v>0</v>
      </c>
      <c r="H254">
        <v>0</v>
      </c>
      <c r="I254" t="s">
        <v>12</v>
      </c>
      <c r="J254">
        <v>10</v>
      </c>
    </row>
    <row r="255" spans="1:10" x14ac:dyDescent="0.5">
      <c r="A255" t="s">
        <v>255</v>
      </c>
      <c r="B255">
        <v>48</v>
      </c>
      <c r="C255" t="s">
        <v>11</v>
      </c>
      <c r="D255">
        <v>6.5</v>
      </c>
      <c r="E255">
        <v>5</v>
      </c>
      <c r="F255">
        <v>8</v>
      </c>
      <c r="G255">
        <v>6</v>
      </c>
      <c r="H255">
        <v>4</v>
      </c>
      <c r="I255" t="s">
        <v>23</v>
      </c>
      <c r="J255">
        <v>8</v>
      </c>
    </row>
    <row r="256" spans="1:10" x14ac:dyDescent="0.5">
      <c r="A256" t="s">
        <v>256</v>
      </c>
      <c r="B256">
        <v>18</v>
      </c>
      <c r="C256" t="s">
        <v>16</v>
      </c>
      <c r="D256">
        <v>4.5999999999999996</v>
      </c>
      <c r="E256">
        <v>8</v>
      </c>
      <c r="F256">
        <v>7</v>
      </c>
      <c r="G256">
        <v>6</v>
      </c>
      <c r="H256">
        <v>3</v>
      </c>
      <c r="I256" t="s">
        <v>17</v>
      </c>
      <c r="J256">
        <v>9</v>
      </c>
    </row>
    <row r="257" spans="1:10" x14ac:dyDescent="0.5">
      <c r="A257" t="s">
        <v>257</v>
      </c>
      <c r="B257">
        <v>33</v>
      </c>
      <c r="C257" t="s">
        <v>16</v>
      </c>
      <c r="D257">
        <v>5.9</v>
      </c>
      <c r="E257">
        <v>4</v>
      </c>
      <c r="F257">
        <v>7</v>
      </c>
      <c r="G257">
        <v>0</v>
      </c>
      <c r="H257">
        <v>3</v>
      </c>
      <c r="I257" t="s">
        <v>13</v>
      </c>
      <c r="J257">
        <v>5</v>
      </c>
    </row>
    <row r="258" spans="1:10" x14ac:dyDescent="0.5">
      <c r="A258" t="s">
        <v>258</v>
      </c>
      <c r="B258">
        <v>40</v>
      </c>
      <c r="C258" t="s">
        <v>11</v>
      </c>
      <c r="D258">
        <v>7.5</v>
      </c>
      <c r="E258">
        <v>4</v>
      </c>
      <c r="F258">
        <v>8</v>
      </c>
      <c r="G258">
        <v>5</v>
      </c>
      <c r="H258">
        <v>0</v>
      </c>
      <c r="I258" t="s">
        <v>12</v>
      </c>
      <c r="J258">
        <v>7</v>
      </c>
    </row>
    <row r="259" spans="1:10" x14ac:dyDescent="0.5">
      <c r="A259" t="s">
        <v>259</v>
      </c>
      <c r="B259">
        <v>46</v>
      </c>
      <c r="C259" t="s">
        <v>11</v>
      </c>
      <c r="D259">
        <v>5.3</v>
      </c>
      <c r="E259">
        <v>7</v>
      </c>
      <c r="F259">
        <v>8</v>
      </c>
      <c r="G259">
        <v>5</v>
      </c>
      <c r="H259">
        <v>5</v>
      </c>
      <c r="I259" t="s">
        <v>14</v>
      </c>
      <c r="J259">
        <v>9</v>
      </c>
    </row>
    <row r="260" spans="1:10" x14ac:dyDescent="0.5">
      <c r="A260" t="s">
        <v>260</v>
      </c>
      <c r="B260">
        <v>18</v>
      </c>
      <c r="C260" t="s">
        <v>16</v>
      </c>
      <c r="D260">
        <v>7.2</v>
      </c>
      <c r="E260">
        <v>4</v>
      </c>
      <c r="F260">
        <v>7</v>
      </c>
      <c r="G260">
        <v>3</v>
      </c>
      <c r="H260">
        <v>2</v>
      </c>
      <c r="I260" t="s">
        <v>19</v>
      </c>
      <c r="J260">
        <v>6</v>
      </c>
    </row>
    <row r="261" spans="1:10" x14ac:dyDescent="0.5">
      <c r="A261" t="s">
        <v>261</v>
      </c>
      <c r="B261">
        <v>39</v>
      </c>
      <c r="C261" t="s">
        <v>16</v>
      </c>
      <c r="D261">
        <v>7.1</v>
      </c>
      <c r="E261">
        <v>4</v>
      </c>
      <c r="F261">
        <v>8</v>
      </c>
      <c r="G261">
        <v>0</v>
      </c>
      <c r="H261">
        <v>2</v>
      </c>
      <c r="I261" t="s">
        <v>12</v>
      </c>
      <c r="J261">
        <v>7</v>
      </c>
    </row>
    <row r="262" spans="1:10" x14ac:dyDescent="0.5">
      <c r="A262" t="s">
        <v>262</v>
      </c>
      <c r="B262">
        <v>47</v>
      </c>
      <c r="C262" t="s">
        <v>16</v>
      </c>
      <c r="D262">
        <v>2.1</v>
      </c>
      <c r="E262">
        <v>8</v>
      </c>
      <c r="F262">
        <v>4</v>
      </c>
      <c r="G262">
        <v>5</v>
      </c>
      <c r="H262">
        <v>1</v>
      </c>
      <c r="I262" t="s">
        <v>19</v>
      </c>
      <c r="J262">
        <v>10</v>
      </c>
    </row>
    <row r="263" spans="1:10" x14ac:dyDescent="0.5">
      <c r="A263" t="s">
        <v>263</v>
      </c>
      <c r="B263">
        <v>37</v>
      </c>
      <c r="C263" t="s">
        <v>16</v>
      </c>
      <c r="D263">
        <v>3.9</v>
      </c>
      <c r="E263">
        <v>8</v>
      </c>
      <c r="F263">
        <v>6</v>
      </c>
      <c r="G263">
        <v>3</v>
      </c>
      <c r="H263">
        <v>0</v>
      </c>
      <c r="I263" t="s">
        <v>13</v>
      </c>
      <c r="J263">
        <v>10</v>
      </c>
    </row>
    <row r="264" spans="1:10" x14ac:dyDescent="0.5">
      <c r="A264" t="s">
        <v>264</v>
      </c>
      <c r="B264">
        <v>38</v>
      </c>
      <c r="C264" t="s">
        <v>16</v>
      </c>
      <c r="D264">
        <v>2.7</v>
      </c>
      <c r="E264">
        <v>6</v>
      </c>
      <c r="F264">
        <v>3</v>
      </c>
      <c r="G264">
        <v>4</v>
      </c>
      <c r="H264">
        <v>4</v>
      </c>
      <c r="I264" t="s">
        <v>14</v>
      </c>
      <c r="J264">
        <v>10</v>
      </c>
    </row>
    <row r="265" spans="1:10" x14ac:dyDescent="0.5">
      <c r="A265" t="s">
        <v>265</v>
      </c>
      <c r="B265">
        <v>17</v>
      </c>
      <c r="C265" t="s">
        <v>11</v>
      </c>
      <c r="D265">
        <v>9.1</v>
      </c>
      <c r="E265">
        <v>4</v>
      </c>
      <c r="F265">
        <v>9</v>
      </c>
      <c r="G265">
        <v>7</v>
      </c>
      <c r="H265">
        <v>4</v>
      </c>
      <c r="I265" t="s">
        <v>17</v>
      </c>
      <c r="J265">
        <v>4</v>
      </c>
    </row>
    <row r="266" spans="1:10" x14ac:dyDescent="0.5">
      <c r="A266" t="s">
        <v>266</v>
      </c>
      <c r="B266">
        <v>42</v>
      </c>
      <c r="C266" t="s">
        <v>11</v>
      </c>
      <c r="D266">
        <v>5.3</v>
      </c>
      <c r="E266">
        <v>7</v>
      </c>
      <c r="F266">
        <v>7</v>
      </c>
      <c r="G266">
        <v>4</v>
      </c>
      <c r="H266">
        <v>2</v>
      </c>
      <c r="I266" t="s">
        <v>17</v>
      </c>
      <c r="J266">
        <v>8</v>
      </c>
    </row>
    <row r="267" spans="1:10" x14ac:dyDescent="0.5">
      <c r="A267" t="s">
        <v>267</v>
      </c>
      <c r="B267">
        <v>17</v>
      </c>
      <c r="C267" t="s">
        <v>11</v>
      </c>
      <c r="D267">
        <v>8.6999999999999993</v>
      </c>
      <c r="E267">
        <v>4</v>
      </c>
      <c r="F267">
        <v>8</v>
      </c>
      <c r="G267">
        <v>1</v>
      </c>
      <c r="H267">
        <v>1</v>
      </c>
      <c r="I267" t="s">
        <v>14</v>
      </c>
      <c r="J267">
        <v>7</v>
      </c>
    </row>
    <row r="268" spans="1:10" x14ac:dyDescent="0.5">
      <c r="A268" t="s">
        <v>268</v>
      </c>
      <c r="B268">
        <v>41</v>
      </c>
      <c r="C268" t="s">
        <v>16</v>
      </c>
      <c r="D268">
        <v>2.6</v>
      </c>
      <c r="E268">
        <v>8</v>
      </c>
      <c r="F268">
        <v>4</v>
      </c>
      <c r="G268">
        <v>2</v>
      </c>
      <c r="H268">
        <v>2</v>
      </c>
      <c r="I268" t="s">
        <v>19</v>
      </c>
      <c r="J268">
        <v>10</v>
      </c>
    </row>
    <row r="269" spans="1:10" x14ac:dyDescent="0.5">
      <c r="A269" t="s">
        <v>269</v>
      </c>
      <c r="B269">
        <v>32</v>
      </c>
      <c r="C269" t="s">
        <v>11</v>
      </c>
      <c r="D269">
        <v>4.5</v>
      </c>
      <c r="E269">
        <v>7</v>
      </c>
      <c r="F269">
        <v>6</v>
      </c>
      <c r="G269">
        <v>1</v>
      </c>
      <c r="H269">
        <v>2</v>
      </c>
      <c r="I269" t="s">
        <v>13</v>
      </c>
      <c r="J269">
        <v>8</v>
      </c>
    </row>
    <row r="270" spans="1:10" x14ac:dyDescent="0.5">
      <c r="A270" t="s">
        <v>270</v>
      </c>
      <c r="B270">
        <v>48</v>
      </c>
      <c r="C270" t="s">
        <v>16</v>
      </c>
      <c r="D270">
        <v>6.9</v>
      </c>
      <c r="E270">
        <v>5</v>
      </c>
      <c r="F270">
        <v>9</v>
      </c>
      <c r="G270">
        <v>4</v>
      </c>
      <c r="H270">
        <v>1</v>
      </c>
      <c r="I270" t="s">
        <v>12</v>
      </c>
      <c r="J270">
        <v>6</v>
      </c>
    </row>
    <row r="271" spans="1:10" x14ac:dyDescent="0.5">
      <c r="A271" t="s">
        <v>271</v>
      </c>
      <c r="B271">
        <v>24</v>
      </c>
      <c r="C271" t="s">
        <v>16</v>
      </c>
      <c r="D271">
        <v>5.8</v>
      </c>
      <c r="E271">
        <v>8</v>
      </c>
      <c r="F271">
        <v>6</v>
      </c>
      <c r="G271">
        <v>1</v>
      </c>
      <c r="H271">
        <v>2</v>
      </c>
      <c r="I271" t="s">
        <v>14</v>
      </c>
      <c r="J271">
        <v>10</v>
      </c>
    </row>
    <row r="272" spans="1:10" x14ac:dyDescent="0.5">
      <c r="A272" t="s">
        <v>272</v>
      </c>
      <c r="B272">
        <v>44</v>
      </c>
      <c r="C272" t="s">
        <v>16</v>
      </c>
      <c r="D272">
        <v>6.5</v>
      </c>
      <c r="E272">
        <v>5</v>
      </c>
      <c r="F272">
        <v>6</v>
      </c>
      <c r="G272">
        <v>2</v>
      </c>
      <c r="H272">
        <v>3</v>
      </c>
      <c r="I272" t="s">
        <v>23</v>
      </c>
      <c r="J272">
        <v>8</v>
      </c>
    </row>
    <row r="273" spans="1:10" x14ac:dyDescent="0.5">
      <c r="A273" t="s">
        <v>273</v>
      </c>
      <c r="B273">
        <v>41</v>
      </c>
      <c r="C273" t="s">
        <v>11</v>
      </c>
      <c r="D273">
        <v>3.2</v>
      </c>
      <c r="E273">
        <v>8</v>
      </c>
      <c r="F273">
        <v>6</v>
      </c>
      <c r="G273">
        <v>0</v>
      </c>
      <c r="H273">
        <v>4</v>
      </c>
      <c r="I273" t="s">
        <v>19</v>
      </c>
      <c r="J273">
        <v>10</v>
      </c>
    </row>
    <row r="274" spans="1:10" x14ac:dyDescent="0.5">
      <c r="A274" t="s">
        <v>274</v>
      </c>
      <c r="B274">
        <v>40</v>
      </c>
      <c r="C274" t="s">
        <v>16</v>
      </c>
      <c r="D274">
        <v>8</v>
      </c>
      <c r="E274">
        <v>5</v>
      </c>
      <c r="F274">
        <v>8</v>
      </c>
      <c r="G274">
        <v>3</v>
      </c>
      <c r="H274">
        <v>3</v>
      </c>
      <c r="I274" t="s">
        <v>17</v>
      </c>
      <c r="J274">
        <v>6</v>
      </c>
    </row>
    <row r="275" spans="1:10" x14ac:dyDescent="0.5">
      <c r="A275" t="s">
        <v>275</v>
      </c>
      <c r="B275">
        <v>39</v>
      </c>
      <c r="C275" t="s">
        <v>11</v>
      </c>
      <c r="D275">
        <v>6.9</v>
      </c>
      <c r="E275">
        <v>5</v>
      </c>
      <c r="F275">
        <v>7</v>
      </c>
      <c r="G275">
        <v>3</v>
      </c>
      <c r="H275">
        <v>0</v>
      </c>
      <c r="I275" t="s">
        <v>14</v>
      </c>
      <c r="J275">
        <v>9</v>
      </c>
    </row>
    <row r="276" spans="1:10" x14ac:dyDescent="0.5">
      <c r="A276" t="s">
        <v>276</v>
      </c>
      <c r="B276">
        <v>28</v>
      </c>
      <c r="C276" t="s">
        <v>16</v>
      </c>
      <c r="D276">
        <v>6.2</v>
      </c>
      <c r="E276">
        <v>3</v>
      </c>
      <c r="F276">
        <v>8</v>
      </c>
      <c r="G276">
        <v>0</v>
      </c>
      <c r="H276">
        <v>3</v>
      </c>
      <c r="I276" t="s">
        <v>17</v>
      </c>
      <c r="J276">
        <v>5</v>
      </c>
    </row>
    <row r="277" spans="1:10" x14ac:dyDescent="0.5">
      <c r="A277" t="s">
        <v>277</v>
      </c>
      <c r="B277">
        <v>22</v>
      </c>
      <c r="C277" t="s">
        <v>11</v>
      </c>
      <c r="D277">
        <v>4.3</v>
      </c>
      <c r="E277">
        <v>7</v>
      </c>
      <c r="F277">
        <v>5</v>
      </c>
      <c r="G277">
        <v>4</v>
      </c>
      <c r="H277">
        <v>2</v>
      </c>
      <c r="I277" t="s">
        <v>19</v>
      </c>
      <c r="J277">
        <v>10</v>
      </c>
    </row>
    <row r="278" spans="1:10" x14ac:dyDescent="0.5">
      <c r="A278" t="s">
        <v>278</v>
      </c>
      <c r="B278">
        <v>35</v>
      </c>
      <c r="C278" t="s">
        <v>11</v>
      </c>
      <c r="D278">
        <v>6.1</v>
      </c>
      <c r="E278">
        <v>7</v>
      </c>
      <c r="F278">
        <v>8</v>
      </c>
      <c r="G278">
        <v>3</v>
      </c>
      <c r="H278">
        <v>5</v>
      </c>
      <c r="I278" t="s">
        <v>17</v>
      </c>
      <c r="J278">
        <v>9</v>
      </c>
    </row>
    <row r="279" spans="1:10" x14ac:dyDescent="0.5">
      <c r="A279" t="s">
        <v>279</v>
      </c>
      <c r="B279">
        <v>16</v>
      </c>
      <c r="C279" t="s">
        <v>16</v>
      </c>
      <c r="D279">
        <v>5</v>
      </c>
      <c r="E279">
        <v>7</v>
      </c>
      <c r="F279">
        <v>6</v>
      </c>
      <c r="G279">
        <v>1</v>
      </c>
      <c r="H279">
        <v>5</v>
      </c>
      <c r="I279" t="s">
        <v>14</v>
      </c>
      <c r="J279">
        <v>10</v>
      </c>
    </row>
    <row r="280" spans="1:10" x14ac:dyDescent="0.5">
      <c r="A280" t="s">
        <v>280</v>
      </c>
      <c r="B280">
        <v>23</v>
      </c>
      <c r="C280" t="s">
        <v>11</v>
      </c>
      <c r="D280">
        <v>2.5</v>
      </c>
      <c r="E280">
        <v>9</v>
      </c>
      <c r="F280">
        <v>5</v>
      </c>
      <c r="G280">
        <v>7</v>
      </c>
      <c r="H280">
        <v>5</v>
      </c>
      <c r="I280" t="s">
        <v>19</v>
      </c>
      <c r="J280">
        <v>10</v>
      </c>
    </row>
    <row r="281" spans="1:10" x14ac:dyDescent="0.5">
      <c r="A281" t="s">
        <v>281</v>
      </c>
      <c r="B281">
        <v>31</v>
      </c>
      <c r="C281" t="s">
        <v>11</v>
      </c>
      <c r="D281">
        <v>5.4</v>
      </c>
      <c r="E281">
        <v>5</v>
      </c>
      <c r="F281">
        <v>8</v>
      </c>
      <c r="G281">
        <v>5</v>
      </c>
      <c r="H281">
        <v>2</v>
      </c>
      <c r="I281" t="s">
        <v>23</v>
      </c>
      <c r="J281">
        <v>7</v>
      </c>
    </row>
    <row r="282" spans="1:10" x14ac:dyDescent="0.5">
      <c r="A282" t="s">
        <v>282</v>
      </c>
      <c r="B282">
        <v>29</v>
      </c>
      <c r="C282" t="s">
        <v>16</v>
      </c>
      <c r="D282">
        <v>5.2</v>
      </c>
      <c r="E282">
        <v>7</v>
      </c>
      <c r="F282">
        <v>6</v>
      </c>
      <c r="G282">
        <v>1</v>
      </c>
      <c r="H282">
        <v>5</v>
      </c>
      <c r="I282" t="s">
        <v>14</v>
      </c>
      <c r="J282">
        <v>10</v>
      </c>
    </row>
    <row r="283" spans="1:10" x14ac:dyDescent="0.5">
      <c r="A283" t="s">
        <v>283</v>
      </c>
      <c r="B283">
        <v>27</v>
      </c>
      <c r="C283" t="s">
        <v>16</v>
      </c>
      <c r="D283">
        <v>7.4</v>
      </c>
      <c r="E283">
        <v>4</v>
      </c>
      <c r="F283">
        <v>9</v>
      </c>
      <c r="G283">
        <v>5</v>
      </c>
      <c r="H283">
        <v>3</v>
      </c>
      <c r="I283" t="s">
        <v>12</v>
      </c>
      <c r="J283">
        <v>5</v>
      </c>
    </row>
    <row r="284" spans="1:10" x14ac:dyDescent="0.5">
      <c r="A284" t="s">
        <v>284</v>
      </c>
      <c r="B284">
        <v>38</v>
      </c>
      <c r="C284" t="s">
        <v>16</v>
      </c>
      <c r="D284">
        <v>1.5</v>
      </c>
      <c r="E284">
        <v>9</v>
      </c>
      <c r="F284">
        <v>4</v>
      </c>
      <c r="G284">
        <v>5</v>
      </c>
      <c r="H284">
        <v>5</v>
      </c>
      <c r="I284" t="s">
        <v>13</v>
      </c>
      <c r="J284">
        <v>10</v>
      </c>
    </row>
    <row r="285" spans="1:10" x14ac:dyDescent="0.5">
      <c r="A285" t="s">
        <v>285</v>
      </c>
      <c r="B285">
        <v>30</v>
      </c>
      <c r="C285" t="s">
        <v>16</v>
      </c>
      <c r="D285">
        <v>5.9</v>
      </c>
      <c r="E285">
        <v>6</v>
      </c>
      <c r="F285">
        <v>9</v>
      </c>
      <c r="G285">
        <v>3</v>
      </c>
      <c r="H285">
        <v>2</v>
      </c>
      <c r="I285" t="s">
        <v>14</v>
      </c>
      <c r="J285">
        <v>7</v>
      </c>
    </row>
    <row r="286" spans="1:10" x14ac:dyDescent="0.5">
      <c r="A286" t="s">
        <v>286</v>
      </c>
      <c r="B286">
        <v>43</v>
      </c>
      <c r="C286" t="s">
        <v>16</v>
      </c>
      <c r="D286">
        <v>3.4</v>
      </c>
      <c r="E286">
        <v>7</v>
      </c>
      <c r="F286">
        <v>7</v>
      </c>
      <c r="G286">
        <v>4</v>
      </c>
      <c r="H286">
        <v>2</v>
      </c>
      <c r="I286" t="s">
        <v>19</v>
      </c>
      <c r="J286">
        <v>10</v>
      </c>
    </row>
    <row r="287" spans="1:10" x14ac:dyDescent="0.5">
      <c r="A287" t="s">
        <v>287</v>
      </c>
      <c r="B287">
        <v>49</v>
      </c>
      <c r="C287" t="s">
        <v>11</v>
      </c>
      <c r="D287">
        <v>6.1</v>
      </c>
      <c r="E287">
        <v>5</v>
      </c>
      <c r="F287">
        <v>6</v>
      </c>
      <c r="G287">
        <v>4</v>
      </c>
      <c r="H287">
        <v>3</v>
      </c>
      <c r="I287" t="s">
        <v>13</v>
      </c>
      <c r="J287">
        <v>9</v>
      </c>
    </row>
    <row r="288" spans="1:10" x14ac:dyDescent="0.5">
      <c r="A288" t="s">
        <v>288</v>
      </c>
      <c r="B288">
        <v>17</v>
      </c>
      <c r="C288" t="s">
        <v>11</v>
      </c>
      <c r="D288">
        <v>6.2</v>
      </c>
      <c r="E288">
        <v>6</v>
      </c>
      <c r="F288">
        <v>8</v>
      </c>
      <c r="G288">
        <v>0</v>
      </c>
      <c r="H288">
        <v>3</v>
      </c>
      <c r="I288" t="s">
        <v>14</v>
      </c>
      <c r="J288">
        <v>7</v>
      </c>
    </row>
    <row r="289" spans="1:10" x14ac:dyDescent="0.5">
      <c r="A289" t="s">
        <v>289</v>
      </c>
      <c r="B289">
        <v>47</v>
      </c>
      <c r="C289" t="s">
        <v>11</v>
      </c>
      <c r="D289">
        <v>5.3</v>
      </c>
      <c r="E289">
        <v>6</v>
      </c>
      <c r="F289">
        <v>6</v>
      </c>
      <c r="G289">
        <v>3</v>
      </c>
      <c r="H289">
        <v>4</v>
      </c>
      <c r="I289" t="s">
        <v>23</v>
      </c>
      <c r="J289">
        <v>9</v>
      </c>
    </row>
    <row r="290" spans="1:10" x14ac:dyDescent="0.5">
      <c r="A290" t="s">
        <v>290</v>
      </c>
      <c r="B290">
        <v>38</v>
      </c>
      <c r="C290" t="s">
        <v>16</v>
      </c>
      <c r="D290">
        <v>7</v>
      </c>
      <c r="E290">
        <v>4</v>
      </c>
      <c r="F290">
        <v>8</v>
      </c>
      <c r="G290">
        <v>3</v>
      </c>
      <c r="H290">
        <v>2</v>
      </c>
      <c r="I290" t="s">
        <v>23</v>
      </c>
      <c r="J290">
        <v>6</v>
      </c>
    </row>
    <row r="291" spans="1:10" x14ac:dyDescent="0.5">
      <c r="A291" t="s">
        <v>291</v>
      </c>
      <c r="B291">
        <v>37</v>
      </c>
      <c r="C291" t="s">
        <v>16</v>
      </c>
      <c r="D291">
        <v>3.3</v>
      </c>
      <c r="E291">
        <v>7</v>
      </c>
      <c r="F291">
        <v>5</v>
      </c>
      <c r="G291">
        <v>6</v>
      </c>
      <c r="H291">
        <v>4</v>
      </c>
      <c r="I291" t="s">
        <v>12</v>
      </c>
      <c r="J291">
        <v>9</v>
      </c>
    </row>
    <row r="292" spans="1:10" x14ac:dyDescent="0.5">
      <c r="A292" t="s">
        <v>292</v>
      </c>
      <c r="B292">
        <v>40</v>
      </c>
      <c r="C292" t="s">
        <v>11</v>
      </c>
      <c r="D292">
        <v>7.5</v>
      </c>
      <c r="E292">
        <v>5</v>
      </c>
      <c r="F292">
        <v>7</v>
      </c>
      <c r="G292">
        <v>4</v>
      </c>
      <c r="H292">
        <v>4</v>
      </c>
      <c r="I292" t="s">
        <v>17</v>
      </c>
      <c r="J292">
        <v>9</v>
      </c>
    </row>
    <row r="293" spans="1:10" x14ac:dyDescent="0.5">
      <c r="A293" t="s">
        <v>293</v>
      </c>
      <c r="B293">
        <v>37</v>
      </c>
      <c r="C293" t="s">
        <v>11</v>
      </c>
      <c r="D293">
        <v>4.2</v>
      </c>
      <c r="E293">
        <v>9</v>
      </c>
      <c r="F293">
        <v>7</v>
      </c>
      <c r="G293">
        <v>2</v>
      </c>
      <c r="H293">
        <v>2</v>
      </c>
      <c r="I293" t="s">
        <v>13</v>
      </c>
      <c r="J293">
        <v>8</v>
      </c>
    </row>
    <row r="294" spans="1:10" x14ac:dyDescent="0.5">
      <c r="A294" t="s">
        <v>503</v>
      </c>
      <c r="B294">
        <v>37</v>
      </c>
      <c r="C294" t="s">
        <v>496</v>
      </c>
      <c r="D294">
        <v>2.7</v>
      </c>
      <c r="E294">
        <v>8</v>
      </c>
      <c r="F294">
        <v>5</v>
      </c>
      <c r="G294">
        <v>3</v>
      </c>
      <c r="H294">
        <v>3</v>
      </c>
      <c r="I294" t="s">
        <v>19</v>
      </c>
      <c r="J294">
        <v>10</v>
      </c>
    </row>
    <row r="295" spans="1:10" x14ac:dyDescent="0.5">
      <c r="A295" t="s">
        <v>294</v>
      </c>
      <c r="B295">
        <v>21</v>
      </c>
      <c r="C295" t="s">
        <v>11</v>
      </c>
      <c r="D295">
        <v>5</v>
      </c>
      <c r="E295">
        <v>7</v>
      </c>
      <c r="F295">
        <v>6</v>
      </c>
      <c r="G295">
        <v>5</v>
      </c>
      <c r="H295">
        <v>2</v>
      </c>
      <c r="I295" t="s">
        <v>19</v>
      </c>
      <c r="J295">
        <v>10</v>
      </c>
    </row>
    <row r="296" spans="1:10" x14ac:dyDescent="0.5">
      <c r="A296" t="s">
        <v>295</v>
      </c>
      <c r="B296">
        <v>30</v>
      </c>
      <c r="C296" t="s">
        <v>16</v>
      </c>
      <c r="D296">
        <v>1.7</v>
      </c>
      <c r="E296">
        <v>9</v>
      </c>
      <c r="F296">
        <v>4</v>
      </c>
      <c r="G296">
        <v>3</v>
      </c>
      <c r="H296">
        <v>6</v>
      </c>
      <c r="I296" t="s">
        <v>17</v>
      </c>
      <c r="J296">
        <v>10</v>
      </c>
    </row>
    <row r="297" spans="1:10" x14ac:dyDescent="0.5">
      <c r="A297" t="s">
        <v>296</v>
      </c>
      <c r="B297">
        <v>48</v>
      </c>
      <c r="C297" t="s">
        <v>16</v>
      </c>
      <c r="D297">
        <v>6</v>
      </c>
      <c r="E297">
        <v>5</v>
      </c>
      <c r="F297">
        <v>7</v>
      </c>
      <c r="G297">
        <v>2</v>
      </c>
      <c r="H297">
        <v>0</v>
      </c>
      <c r="I297" t="s">
        <v>23</v>
      </c>
      <c r="J297">
        <v>7</v>
      </c>
    </row>
    <row r="298" spans="1:10" x14ac:dyDescent="0.5">
      <c r="A298" t="s">
        <v>297</v>
      </c>
      <c r="B298">
        <v>23</v>
      </c>
      <c r="C298" t="s">
        <v>16</v>
      </c>
      <c r="D298">
        <v>5</v>
      </c>
      <c r="E298">
        <v>5</v>
      </c>
      <c r="F298">
        <v>7</v>
      </c>
      <c r="G298">
        <v>2</v>
      </c>
      <c r="H298">
        <v>4</v>
      </c>
      <c r="I298" t="s">
        <v>23</v>
      </c>
      <c r="J298">
        <v>8</v>
      </c>
    </row>
    <row r="299" spans="1:10" x14ac:dyDescent="0.5">
      <c r="A299" t="s">
        <v>298</v>
      </c>
      <c r="B299">
        <v>20</v>
      </c>
      <c r="C299" t="s">
        <v>11</v>
      </c>
      <c r="D299">
        <v>7.7</v>
      </c>
      <c r="E299">
        <v>4</v>
      </c>
      <c r="F299">
        <v>8</v>
      </c>
      <c r="G299">
        <v>5</v>
      </c>
      <c r="H299">
        <v>0</v>
      </c>
      <c r="I299" t="s">
        <v>14</v>
      </c>
      <c r="J299">
        <v>5</v>
      </c>
    </row>
    <row r="300" spans="1:10" x14ac:dyDescent="0.5">
      <c r="A300" t="s">
        <v>299</v>
      </c>
      <c r="B300">
        <v>19</v>
      </c>
      <c r="C300" t="s">
        <v>16</v>
      </c>
      <c r="D300">
        <v>6.7</v>
      </c>
      <c r="E300">
        <v>6</v>
      </c>
      <c r="F300">
        <v>5</v>
      </c>
      <c r="G300">
        <v>4</v>
      </c>
      <c r="H300">
        <v>2</v>
      </c>
      <c r="I300" t="s">
        <v>12</v>
      </c>
      <c r="J300">
        <v>9</v>
      </c>
    </row>
    <row r="301" spans="1:10" x14ac:dyDescent="0.5">
      <c r="A301" t="s">
        <v>300</v>
      </c>
      <c r="B301">
        <v>21</v>
      </c>
      <c r="C301" t="s">
        <v>16</v>
      </c>
      <c r="D301">
        <v>3</v>
      </c>
      <c r="E301">
        <v>8</v>
      </c>
      <c r="F301">
        <v>5</v>
      </c>
      <c r="G301">
        <v>3</v>
      </c>
      <c r="H301">
        <v>2</v>
      </c>
      <c r="I301" t="s">
        <v>13</v>
      </c>
      <c r="J301">
        <v>10</v>
      </c>
    </row>
    <row r="302" spans="1:10" x14ac:dyDescent="0.5">
      <c r="A302" t="s">
        <v>301</v>
      </c>
      <c r="B302">
        <v>47</v>
      </c>
      <c r="C302" t="s">
        <v>16</v>
      </c>
      <c r="D302">
        <v>4</v>
      </c>
      <c r="E302">
        <v>8</v>
      </c>
      <c r="F302">
        <v>4</v>
      </c>
      <c r="G302">
        <v>3</v>
      </c>
      <c r="H302">
        <v>5</v>
      </c>
      <c r="I302" t="s">
        <v>12</v>
      </c>
      <c r="J302">
        <v>10</v>
      </c>
    </row>
    <row r="303" spans="1:10" x14ac:dyDescent="0.5">
      <c r="A303" t="s">
        <v>302</v>
      </c>
      <c r="B303">
        <v>45</v>
      </c>
      <c r="C303" t="s">
        <v>16</v>
      </c>
      <c r="D303">
        <v>6.4</v>
      </c>
      <c r="E303">
        <v>6</v>
      </c>
      <c r="F303">
        <v>7</v>
      </c>
      <c r="G303">
        <v>2</v>
      </c>
      <c r="H303">
        <v>1</v>
      </c>
      <c r="I303" t="s">
        <v>12</v>
      </c>
      <c r="J303">
        <v>7</v>
      </c>
    </row>
    <row r="304" spans="1:10" x14ac:dyDescent="0.5">
      <c r="A304" t="s">
        <v>303</v>
      </c>
      <c r="B304">
        <v>31</v>
      </c>
      <c r="C304" t="s">
        <v>16</v>
      </c>
      <c r="D304">
        <v>7</v>
      </c>
      <c r="E304">
        <v>5</v>
      </c>
      <c r="F304">
        <v>6</v>
      </c>
      <c r="G304">
        <v>3</v>
      </c>
      <c r="H304">
        <v>4</v>
      </c>
      <c r="I304" t="s">
        <v>14</v>
      </c>
      <c r="J304">
        <v>8</v>
      </c>
    </row>
    <row r="305" spans="1:10" x14ac:dyDescent="0.5">
      <c r="A305" t="s">
        <v>304</v>
      </c>
      <c r="B305">
        <v>28</v>
      </c>
      <c r="C305" t="s">
        <v>16</v>
      </c>
      <c r="D305">
        <v>7.7</v>
      </c>
      <c r="E305">
        <v>4</v>
      </c>
      <c r="F305">
        <v>7</v>
      </c>
      <c r="G305">
        <v>2</v>
      </c>
      <c r="H305">
        <v>1</v>
      </c>
      <c r="I305" t="s">
        <v>12</v>
      </c>
      <c r="J305">
        <v>7</v>
      </c>
    </row>
    <row r="306" spans="1:10" x14ac:dyDescent="0.5">
      <c r="A306" t="s">
        <v>305</v>
      </c>
      <c r="B306">
        <v>45</v>
      </c>
      <c r="C306" t="s">
        <v>11</v>
      </c>
      <c r="D306">
        <v>7.7</v>
      </c>
      <c r="E306">
        <v>6</v>
      </c>
      <c r="F306">
        <v>9</v>
      </c>
      <c r="G306">
        <v>2</v>
      </c>
      <c r="H306">
        <v>5</v>
      </c>
      <c r="I306" t="s">
        <v>17</v>
      </c>
      <c r="J306">
        <v>6</v>
      </c>
    </row>
    <row r="307" spans="1:10" x14ac:dyDescent="0.5">
      <c r="A307" t="s">
        <v>306</v>
      </c>
      <c r="B307">
        <v>34</v>
      </c>
      <c r="C307" t="s">
        <v>16</v>
      </c>
      <c r="D307">
        <v>5.3</v>
      </c>
      <c r="E307">
        <v>6</v>
      </c>
      <c r="F307">
        <v>6</v>
      </c>
      <c r="G307">
        <v>6</v>
      </c>
      <c r="H307">
        <v>2</v>
      </c>
      <c r="I307" t="s">
        <v>14</v>
      </c>
      <c r="J307">
        <v>10</v>
      </c>
    </row>
    <row r="308" spans="1:10" x14ac:dyDescent="0.5">
      <c r="A308" t="s">
        <v>307</v>
      </c>
      <c r="B308">
        <v>32</v>
      </c>
      <c r="C308" t="s">
        <v>16</v>
      </c>
      <c r="D308">
        <v>6.2</v>
      </c>
      <c r="E308">
        <v>5</v>
      </c>
      <c r="F308">
        <v>7</v>
      </c>
      <c r="G308">
        <v>1</v>
      </c>
      <c r="H308">
        <v>3</v>
      </c>
      <c r="I308" t="s">
        <v>17</v>
      </c>
      <c r="J308">
        <v>7</v>
      </c>
    </row>
    <row r="309" spans="1:10" x14ac:dyDescent="0.5">
      <c r="A309" t="s">
        <v>308</v>
      </c>
      <c r="B309">
        <v>34</v>
      </c>
      <c r="C309" t="s">
        <v>11</v>
      </c>
      <c r="D309">
        <v>7.8</v>
      </c>
      <c r="E309">
        <v>5</v>
      </c>
      <c r="F309">
        <v>9</v>
      </c>
      <c r="G309">
        <v>2</v>
      </c>
      <c r="H309">
        <v>2</v>
      </c>
      <c r="I309" t="s">
        <v>14</v>
      </c>
      <c r="J309">
        <v>6</v>
      </c>
    </row>
    <row r="310" spans="1:10" x14ac:dyDescent="0.5">
      <c r="A310" t="s">
        <v>309</v>
      </c>
      <c r="B310">
        <v>43</v>
      </c>
      <c r="C310" t="s">
        <v>16</v>
      </c>
      <c r="D310">
        <v>5</v>
      </c>
      <c r="E310">
        <v>5</v>
      </c>
      <c r="F310">
        <v>6</v>
      </c>
      <c r="G310">
        <v>0</v>
      </c>
      <c r="H310">
        <v>4</v>
      </c>
      <c r="I310" t="s">
        <v>12</v>
      </c>
      <c r="J310">
        <v>8</v>
      </c>
    </row>
    <row r="311" spans="1:10" x14ac:dyDescent="0.5">
      <c r="A311" t="s">
        <v>310</v>
      </c>
      <c r="B311">
        <v>41</v>
      </c>
      <c r="C311" t="s">
        <v>16</v>
      </c>
      <c r="D311">
        <v>6.2</v>
      </c>
      <c r="E311">
        <v>8</v>
      </c>
      <c r="F311">
        <v>9</v>
      </c>
      <c r="G311">
        <v>0</v>
      </c>
      <c r="H311">
        <v>4</v>
      </c>
      <c r="I311" t="s">
        <v>17</v>
      </c>
      <c r="J311">
        <v>7</v>
      </c>
    </row>
    <row r="312" spans="1:10" x14ac:dyDescent="0.5">
      <c r="A312" t="s">
        <v>311</v>
      </c>
      <c r="B312">
        <v>41</v>
      </c>
      <c r="C312" t="s">
        <v>16</v>
      </c>
      <c r="D312">
        <v>4.9000000000000004</v>
      </c>
      <c r="E312">
        <v>7</v>
      </c>
      <c r="F312">
        <v>6</v>
      </c>
      <c r="G312">
        <v>3</v>
      </c>
      <c r="H312">
        <v>3</v>
      </c>
      <c r="I312" t="s">
        <v>17</v>
      </c>
      <c r="J312">
        <v>9</v>
      </c>
    </row>
    <row r="313" spans="1:10" x14ac:dyDescent="0.5">
      <c r="A313" t="s">
        <v>312</v>
      </c>
      <c r="B313">
        <v>38</v>
      </c>
      <c r="C313" t="s">
        <v>11</v>
      </c>
      <c r="D313">
        <v>4.5</v>
      </c>
      <c r="E313">
        <v>7</v>
      </c>
      <c r="F313">
        <v>6</v>
      </c>
      <c r="G313">
        <v>2</v>
      </c>
      <c r="H313">
        <v>1</v>
      </c>
      <c r="I313" t="s">
        <v>17</v>
      </c>
      <c r="J313">
        <v>9</v>
      </c>
    </row>
    <row r="314" spans="1:10" x14ac:dyDescent="0.5">
      <c r="A314" t="s">
        <v>313</v>
      </c>
      <c r="B314">
        <v>24</v>
      </c>
      <c r="C314" t="s">
        <v>11</v>
      </c>
      <c r="D314">
        <v>5.6</v>
      </c>
      <c r="E314">
        <v>5</v>
      </c>
      <c r="F314">
        <v>8</v>
      </c>
      <c r="G314">
        <v>7</v>
      </c>
      <c r="H314">
        <v>1</v>
      </c>
      <c r="I314" t="s">
        <v>14</v>
      </c>
      <c r="J314">
        <v>7</v>
      </c>
    </row>
    <row r="315" spans="1:10" x14ac:dyDescent="0.5">
      <c r="A315" t="s">
        <v>502</v>
      </c>
      <c r="B315">
        <v>27</v>
      </c>
      <c r="C315" t="s">
        <v>496</v>
      </c>
      <c r="D315">
        <v>4.3</v>
      </c>
      <c r="E315">
        <v>7</v>
      </c>
      <c r="F315">
        <v>7</v>
      </c>
      <c r="G315">
        <v>2</v>
      </c>
      <c r="H315">
        <v>1</v>
      </c>
      <c r="I315" t="s">
        <v>19</v>
      </c>
      <c r="J315">
        <v>8</v>
      </c>
    </row>
    <row r="316" spans="1:10" x14ac:dyDescent="0.5">
      <c r="A316" t="s">
        <v>314</v>
      </c>
      <c r="B316">
        <v>16</v>
      </c>
      <c r="C316" t="s">
        <v>16</v>
      </c>
      <c r="D316">
        <v>5.3</v>
      </c>
      <c r="E316">
        <v>6</v>
      </c>
      <c r="F316">
        <v>6</v>
      </c>
      <c r="G316">
        <v>6</v>
      </c>
      <c r="H316">
        <v>0</v>
      </c>
      <c r="I316" t="s">
        <v>12</v>
      </c>
      <c r="J316">
        <v>9</v>
      </c>
    </row>
    <row r="317" spans="1:10" x14ac:dyDescent="0.5">
      <c r="A317" t="s">
        <v>315</v>
      </c>
      <c r="B317">
        <v>16</v>
      </c>
      <c r="C317" t="s">
        <v>11</v>
      </c>
      <c r="D317">
        <v>3.6</v>
      </c>
      <c r="E317">
        <v>7</v>
      </c>
      <c r="F317">
        <v>5</v>
      </c>
      <c r="G317">
        <v>5</v>
      </c>
      <c r="H317">
        <v>4</v>
      </c>
      <c r="I317" t="s">
        <v>17</v>
      </c>
      <c r="J317">
        <v>10</v>
      </c>
    </row>
    <row r="318" spans="1:10" x14ac:dyDescent="0.5">
      <c r="A318" t="s">
        <v>316</v>
      </c>
      <c r="B318">
        <v>49</v>
      </c>
      <c r="C318" t="s">
        <v>16</v>
      </c>
      <c r="D318">
        <v>5.2</v>
      </c>
      <c r="E318">
        <v>7</v>
      </c>
      <c r="F318">
        <v>8</v>
      </c>
      <c r="G318">
        <v>3</v>
      </c>
      <c r="H318">
        <v>2</v>
      </c>
      <c r="I318" t="s">
        <v>13</v>
      </c>
      <c r="J318">
        <v>8</v>
      </c>
    </row>
    <row r="319" spans="1:10" x14ac:dyDescent="0.5">
      <c r="A319" t="s">
        <v>317</v>
      </c>
      <c r="B319">
        <v>47</v>
      </c>
      <c r="C319" t="s">
        <v>16</v>
      </c>
      <c r="D319">
        <v>6.3</v>
      </c>
      <c r="E319">
        <v>5</v>
      </c>
      <c r="F319">
        <v>8</v>
      </c>
      <c r="G319">
        <v>7</v>
      </c>
      <c r="H319">
        <v>2</v>
      </c>
      <c r="I319" t="s">
        <v>19</v>
      </c>
      <c r="J319">
        <v>8</v>
      </c>
    </row>
    <row r="320" spans="1:10" x14ac:dyDescent="0.5">
      <c r="A320" t="s">
        <v>318</v>
      </c>
      <c r="B320">
        <v>40</v>
      </c>
      <c r="C320" t="s">
        <v>16</v>
      </c>
      <c r="D320">
        <v>4.4000000000000004</v>
      </c>
      <c r="E320">
        <v>8</v>
      </c>
      <c r="F320">
        <v>7</v>
      </c>
      <c r="G320">
        <v>4</v>
      </c>
      <c r="H320">
        <v>5</v>
      </c>
      <c r="I320" t="s">
        <v>13</v>
      </c>
      <c r="J320">
        <v>8</v>
      </c>
    </row>
    <row r="321" spans="1:10" x14ac:dyDescent="0.5">
      <c r="A321" t="s">
        <v>319</v>
      </c>
      <c r="B321">
        <v>16</v>
      </c>
      <c r="C321" t="s">
        <v>16</v>
      </c>
      <c r="D321">
        <v>5.5</v>
      </c>
      <c r="E321">
        <v>9</v>
      </c>
      <c r="F321">
        <v>5</v>
      </c>
      <c r="G321">
        <v>6</v>
      </c>
      <c r="H321">
        <v>2</v>
      </c>
      <c r="I321" t="s">
        <v>12</v>
      </c>
      <c r="J321">
        <v>10</v>
      </c>
    </row>
    <row r="322" spans="1:10" x14ac:dyDescent="0.5">
      <c r="A322" t="s">
        <v>320</v>
      </c>
      <c r="B322">
        <v>31</v>
      </c>
      <c r="C322" t="s">
        <v>11</v>
      </c>
      <c r="D322">
        <v>5.8</v>
      </c>
      <c r="E322">
        <v>6</v>
      </c>
      <c r="F322">
        <v>8</v>
      </c>
      <c r="G322">
        <v>6</v>
      </c>
      <c r="H322">
        <v>1</v>
      </c>
      <c r="I322" t="s">
        <v>12</v>
      </c>
      <c r="J322">
        <v>7</v>
      </c>
    </row>
    <row r="323" spans="1:10" x14ac:dyDescent="0.5">
      <c r="A323" t="s">
        <v>321</v>
      </c>
      <c r="B323">
        <v>20</v>
      </c>
      <c r="C323" t="s">
        <v>11</v>
      </c>
      <c r="D323">
        <v>6.3</v>
      </c>
      <c r="E323">
        <v>6</v>
      </c>
      <c r="F323">
        <v>6</v>
      </c>
      <c r="G323">
        <v>4</v>
      </c>
      <c r="H323">
        <v>2</v>
      </c>
      <c r="I323" t="s">
        <v>17</v>
      </c>
      <c r="J323">
        <v>8</v>
      </c>
    </row>
    <row r="324" spans="1:10" x14ac:dyDescent="0.5">
      <c r="A324" t="s">
        <v>322</v>
      </c>
      <c r="B324">
        <v>37</v>
      </c>
      <c r="C324" t="s">
        <v>11</v>
      </c>
      <c r="D324">
        <v>5.3</v>
      </c>
      <c r="E324">
        <v>7</v>
      </c>
      <c r="F324">
        <v>7</v>
      </c>
      <c r="G324">
        <v>5</v>
      </c>
      <c r="H324">
        <v>1</v>
      </c>
      <c r="I324" t="s">
        <v>17</v>
      </c>
      <c r="J324">
        <v>8</v>
      </c>
    </row>
    <row r="325" spans="1:10" x14ac:dyDescent="0.5">
      <c r="A325" t="s">
        <v>323</v>
      </c>
      <c r="B325">
        <v>44</v>
      </c>
      <c r="C325" t="s">
        <v>16</v>
      </c>
      <c r="D325">
        <v>7.5</v>
      </c>
      <c r="E325">
        <v>7</v>
      </c>
      <c r="F325">
        <v>8</v>
      </c>
      <c r="G325">
        <v>4</v>
      </c>
      <c r="H325">
        <v>3</v>
      </c>
      <c r="I325" t="s">
        <v>14</v>
      </c>
      <c r="J325">
        <v>9</v>
      </c>
    </row>
    <row r="326" spans="1:10" x14ac:dyDescent="0.5">
      <c r="A326" t="s">
        <v>324</v>
      </c>
      <c r="B326">
        <v>18</v>
      </c>
      <c r="C326" t="s">
        <v>11</v>
      </c>
      <c r="D326">
        <v>1.7</v>
      </c>
      <c r="E326">
        <v>9</v>
      </c>
      <c r="F326">
        <v>3</v>
      </c>
      <c r="G326">
        <v>1</v>
      </c>
      <c r="H326">
        <v>2</v>
      </c>
      <c r="I326" t="s">
        <v>19</v>
      </c>
      <c r="J326">
        <v>10</v>
      </c>
    </row>
    <row r="327" spans="1:10" x14ac:dyDescent="0.5">
      <c r="A327" t="s">
        <v>325</v>
      </c>
      <c r="B327">
        <v>27</v>
      </c>
      <c r="C327" t="s">
        <v>11</v>
      </c>
      <c r="D327">
        <v>10.8</v>
      </c>
      <c r="E327">
        <v>2</v>
      </c>
      <c r="F327">
        <v>9</v>
      </c>
      <c r="G327">
        <v>3</v>
      </c>
      <c r="H327">
        <v>2</v>
      </c>
      <c r="I327" t="s">
        <v>19</v>
      </c>
      <c r="J327">
        <v>5</v>
      </c>
    </row>
    <row r="328" spans="1:10" x14ac:dyDescent="0.5">
      <c r="A328" t="s">
        <v>326</v>
      </c>
      <c r="B328">
        <v>41</v>
      </c>
      <c r="C328" t="s">
        <v>11</v>
      </c>
      <c r="D328">
        <v>3.9</v>
      </c>
      <c r="E328">
        <v>6</v>
      </c>
      <c r="F328">
        <v>4</v>
      </c>
      <c r="G328">
        <v>5</v>
      </c>
      <c r="H328">
        <v>2</v>
      </c>
      <c r="I328" t="s">
        <v>17</v>
      </c>
      <c r="J328">
        <v>9</v>
      </c>
    </row>
    <row r="329" spans="1:10" x14ac:dyDescent="0.5">
      <c r="A329" t="s">
        <v>327</v>
      </c>
      <c r="B329">
        <v>31</v>
      </c>
      <c r="C329" t="s">
        <v>16</v>
      </c>
      <c r="D329">
        <v>6.2</v>
      </c>
      <c r="E329">
        <v>6</v>
      </c>
      <c r="F329">
        <v>7</v>
      </c>
      <c r="G329">
        <v>6</v>
      </c>
      <c r="H329">
        <v>2</v>
      </c>
      <c r="I329" t="s">
        <v>12</v>
      </c>
      <c r="J329">
        <v>8</v>
      </c>
    </row>
    <row r="330" spans="1:10" x14ac:dyDescent="0.5">
      <c r="A330" t="s">
        <v>328</v>
      </c>
      <c r="B330">
        <v>37</v>
      </c>
      <c r="C330" t="s">
        <v>16</v>
      </c>
      <c r="D330">
        <v>3.8</v>
      </c>
      <c r="E330">
        <v>7</v>
      </c>
      <c r="F330">
        <v>4</v>
      </c>
      <c r="G330">
        <v>2</v>
      </c>
      <c r="H330">
        <v>3</v>
      </c>
      <c r="I330" t="s">
        <v>17</v>
      </c>
      <c r="J330">
        <v>10</v>
      </c>
    </row>
    <row r="331" spans="1:10" x14ac:dyDescent="0.5">
      <c r="A331" t="s">
        <v>329</v>
      </c>
      <c r="B331">
        <v>44</v>
      </c>
      <c r="C331" t="s">
        <v>11</v>
      </c>
      <c r="D331">
        <v>6.7</v>
      </c>
      <c r="E331">
        <v>8</v>
      </c>
      <c r="F331">
        <v>6</v>
      </c>
      <c r="G331">
        <v>4</v>
      </c>
      <c r="H331">
        <v>2</v>
      </c>
      <c r="I331" t="s">
        <v>12</v>
      </c>
      <c r="J331">
        <v>10</v>
      </c>
    </row>
    <row r="332" spans="1:10" x14ac:dyDescent="0.5">
      <c r="A332" t="s">
        <v>330</v>
      </c>
      <c r="B332">
        <v>29</v>
      </c>
      <c r="C332" t="s">
        <v>11</v>
      </c>
      <c r="D332">
        <v>6</v>
      </c>
      <c r="E332">
        <v>8</v>
      </c>
      <c r="F332">
        <v>7</v>
      </c>
      <c r="G332">
        <v>3</v>
      </c>
      <c r="H332">
        <v>2</v>
      </c>
      <c r="I332" t="s">
        <v>12</v>
      </c>
      <c r="J332">
        <v>7</v>
      </c>
    </row>
    <row r="333" spans="1:10" x14ac:dyDescent="0.5">
      <c r="A333" t="s">
        <v>331</v>
      </c>
      <c r="B333">
        <v>43</v>
      </c>
      <c r="C333" t="s">
        <v>16</v>
      </c>
      <c r="D333">
        <v>4.3</v>
      </c>
      <c r="E333">
        <v>6</v>
      </c>
      <c r="F333">
        <v>3</v>
      </c>
      <c r="G333">
        <v>3</v>
      </c>
      <c r="H333">
        <v>2</v>
      </c>
      <c r="I333" t="s">
        <v>17</v>
      </c>
      <c r="J333">
        <v>10</v>
      </c>
    </row>
    <row r="334" spans="1:10" x14ac:dyDescent="0.5">
      <c r="A334" t="s">
        <v>332</v>
      </c>
      <c r="B334">
        <v>20</v>
      </c>
      <c r="C334" t="s">
        <v>11</v>
      </c>
      <c r="D334">
        <v>7.4</v>
      </c>
      <c r="E334">
        <v>4</v>
      </c>
      <c r="F334">
        <v>9</v>
      </c>
      <c r="G334">
        <v>4</v>
      </c>
      <c r="H334">
        <v>2</v>
      </c>
      <c r="I334" t="s">
        <v>23</v>
      </c>
      <c r="J334">
        <v>6</v>
      </c>
    </row>
    <row r="335" spans="1:10" x14ac:dyDescent="0.5">
      <c r="A335" t="s">
        <v>333</v>
      </c>
      <c r="B335">
        <v>45</v>
      </c>
      <c r="C335" t="s">
        <v>11</v>
      </c>
      <c r="D335">
        <v>5.2</v>
      </c>
      <c r="E335">
        <v>7</v>
      </c>
      <c r="F335">
        <v>4</v>
      </c>
      <c r="G335">
        <v>3</v>
      </c>
      <c r="H335">
        <v>3</v>
      </c>
      <c r="I335" t="s">
        <v>19</v>
      </c>
      <c r="J335">
        <v>10</v>
      </c>
    </row>
    <row r="336" spans="1:10" x14ac:dyDescent="0.5">
      <c r="A336" t="s">
        <v>334</v>
      </c>
      <c r="B336">
        <v>20</v>
      </c>
      <c r="C336" t="s">
        <v>11</v>
      </c>
      <c r="D336">
        <v>6.5</v>
      </c>
      <c r="E336">
        <v>7</v>
      </c>
      <c r="F336">
        <v>7</v>
      </c>
      <c r="G336">
        <v>4</v>
      </c>
      <c r="H336">
        <v>1</v>
      </c>
      <c r="I336" t="s">
        <v>13</v>
      </c>
      <c r="J336">
        <v>7</v>
      </c>
    </row>
    <row r="337" spans="1:10" x14ac:dyDescent="0.5">
      <c r="A337" t="s">
        <v>335</v>
      </c>
      <c r="B337">
        <v>27</v>
      </c>
      <c r="C337" t="s">
        <v>11</v>
      </c>
      <c r="D337">
        <v>3.8</v>
      </c>
      <c r="E337">
        <v>8</v>
      </c>
      <c r="F337">
        <v>6</v>
      </c>
      <c r="G337">
        <v>6</v>
      </c>
      <c r="H337">
        <v>4</v>
      </c>
      <c r="I337" t="s">
        <v>12</v>
      </c>
      <c r="J337">
        <v>10</v>
      </c>
    </row>
    <row r="338" spans="1:10" x14ac:dyDescent="0.5">
      <c r="A338" t="s">
        <v>336</v>
      </c>
      <c r="B338">
        <v>31</v>
      </c>
      <c r="C338" t="s">
        <v>11</v>
      </c>
      <c r="D338">
        <v>5.4</v>
      </c>
      <c r="E338">
        <v>6</v>
      </c>
      <c r="F338">
        <v>7</v>
      </c>
      <c r="G338">
        <v>5</v>
      </c>
      <c r="H338">
        <v>3</v>
      </c>
      <c r="I338" t="s">
        <v>12</v>
      </c>
      <c r="J338">
        <v>8</v>
      </c>
    </row>
    <row r="339" spans="1:10" x14ac:dyDescent="0.5">
      <c r="A339" t="s">
        <v>337</v>
      </c>
      <c r="B339">
        <v>41</v>
      </c>
      <c r="C339" t="s">
        <v>16</v>
      </c>
      <c r="D339">
        <v>9.1</v>
      </c>
      <c r="E339">
        <v>4</v>
      </c>
      <c r="F339">
        <v>9</v>
      </c>
      <c r="G339">
        <v>4</v>
      </c>
      <c r="H339">
        <v>2</v>
      </c>
      <c r="I339" t="s">
        <v>23</v>
      </c>
      <c r="J339">
        <v>7</v>
      </c>
    </row>
    <row r="340" spans="1:10" x14ac:dyDescent="0.5">
      <c r="A340" t="s">
        <v>338</v>
      </c>
      <c r="B340">
        <v>41</v>
      </c>
      <c r="C340" t="s">
        <v>11</v>
      </c>
      <c r="D340">
        <v>7.2</v>
      </c>
      <c r="E340">
        <v>5</v>
      </c>
      <c r="F340">
        <v>10</v>
      </c>
      <c r="G340">
        <v>7</v>
      </c>
      <c r="H340">
        <v>3</v>
      </c>
      <c r="I340" t="s">
        <v>13</v>
      </c>
      <c r="J340">
        <v>7</v>
      </c>
    </row>
    <row r="341" spans="1:10" x14ac:dyDescent="0.5">
      <c r="A341" t="s">
        <v>339</v>
      </c>
      <c r="B341">
        <v>36</v>
      </c>
      <c r="C341" t="s">
        <v>16</v>
      </c>
      <c r="D341">
        <v>6.1</v>
      </c>
      <c r="E341">
        <v>7</v>
      </c>
      <c r="F341">
        <v>7</v>
      </c>
      <c r="G341">
        <v>5</v>
      </c>
      <c r="H341">
        <v>2</v>
      </c>
      <c r="I341" t="s">
        <v>14</v>
      </c>
      <c r="J341">
        <v>9</v>
      </c>
    </row>
    <row r="342" spans="1:10" x14ac:dyDescent="0.5">
      <c r="A342" t="s">
        <v>340</v>
      </c>
      <c r="B342">
        <v>48</v>
      </c>
      <c r="C342" t="s">
        <v>11</v>
      </c>
      <c r="D342">
        <v>4.7</v>
      </c>
      <c r="E342">
        <v>6</v>
      </c>
      <c r="F342">
        <v>7</v>
      </c>
      <c r="G342">
        <v>3</v>
      </c>
      <c r="H342">
        <v>0</v>
      </c>
      <c r="I342" t="s">
        <v>23</v>
      </c>
      <c r="J342">
        <v>8</v>
      </c>
    </row>
    <row r="343" spans="1:10" x14ac:dyDescent="0.5">
      <c r="A343" t="s">
        <v>341</v>
      </c>
      <c r="B343">
        <v>45</v>
      </c>
      <c r="C343" t="s">
        <v>16</v>
      </c>
      <c r="D343">
        <v>5.6</v>
      </c>
      <c r="E343">
        <v>6</v>
      </c>
      <c r="F343">
        <v>6</v>
      </c>
      <c r="G343">
        <v>1</v>
      </c>
      <c r="H343">
        <v>3</v>
      </c>
      <c r="I343" t="s">
        <v>13</v>
      </c>
      <c r="J343">
        <v>7</v>
      </c>
    </row>
    <row r="344" spans="1:10" x14ac:dyDescent="0.5">
      <c r="A344" t="s">
        <v>342</v>
      </c>
      <c r="B344">
        <v>38</v>
      </c>
      <c r="C344" t="s">
        <v>16</v>
      </c>
      <c r="D344">
        <v>5.9</v>
      </c>
      <c r="E344">
        <v>7</v>
      </c>
      <c r="F344">
        <v>7</v>
      </c>
      <c r="G344">
        <v>1</v>
      </c>
      <c r="H344">
        <v>1</v>
      </c>
      <c r="I344" t="s">
        <v>23</v>
      </c>
      <c r="J344">
        <v>8</v>
      </c>
    </row>
    <row r="345" spans="1:10" x14ac:dyDescent="0.5">
      <c r="A345" t="s">
        <v>343</v>
      </c>
      <c r="B345">
        <v>25</v>
      </c>
      <c r="C345" t="s">
        <v>11</v>
      </c>
      <c r="D345">
        <v>6.3</v>
      </c>
      <c r="E345">
        <v>5</v>
      </c>
      <c r="F345">
        <v>9</v>
      </c>
      <c r="G345">
        <v>5</v>
      </c>
      <c r="H345">
        <v>4</v>
      </c>
      <c r="I345" t="s">
        <v>12</v>
      </c>
      <c r="J345">
        <v>8</v>
      </c>
    </row>
    <row r="346" spans="1:10" x14ac:dyDescent="0.5">
      <c r="A346" t="s">
        <v>344</v>
      </c>
      <c r="B346">
        <v>20</v>
      </c>
      <c r="C346" t="s">
        <v>16</v>
      </c>
      <c r="D346">
        <v>3.6</v>
      </c>
      <c r="E346">
        <v>6</v>
      </c>
      <c r="F346">
        <v>5</v>
      </c>
      <c r="G346">
        <v>2</v>
      </c>
      <c r="H346">
        <v>2</v>
      </c>
      <c r="I346" t="s">
        <v>19</v>
      </c>
      <c r="J346">
        <v>10</v>
      </c>
    </row>
    <row r="347" spans="1:10" x14ac:dyDescent="0.5">
      <c r="A347" t="s">
        <v>345</v>
      </c>
      <c r="B347">
        <v>49</v>
      </c>
      <c r="C347" t="s">
        <v>11</v>
      </c>
      <c r="D347">
        <v>6.7</v>
      </c>
      <c r="E347">
        <v>6</v>
      </c>
      <c r="F347">
        <v>8</v>
      </c>
      <c r="G347">
        <v>1</v>
      </c>
      <c r="H347">
        <v>4</v>
      </c>
      <c r="I347" t="s">
        <v>23</v>
      </c>
      <c r="J347">
        <v>8</v>
      </c>
    </row>
    <row r="348" spans="1:10" x14ac:dyDescent="0.5">
      <c r="A348" t="s">
        <v>501</v>
      </c>
      <c r="B348">
        <v>46</v>
      </c>
      <c r="C348" t="s">
        <v>496</v>
      </c>
      <c r="D348">
        <v>3.5</v>
      </c>
      <c r="E348">
        <v>7</v>
      </c>
      <c r="F348">
        <v>6</v>
      </c>
      <c r="G348">
        <v>1</v>
      </c>
      <c r="H348">
        <v>2</v>
      </c>
      <c r="I348" t="s">
        <v>14</v>
      </c>
      <c r="J348">
        <v>10</v>
      </c>
    </row>
    <row r="349" spans="1:10" x14ac:dyDescent="0.5">
      <c r="A349" t="s">
        <v>346</v>
      </c>
      <c r="B349">
        <v>25</v>
      </c>
      <c r="C349" t="s">
        <v>11</v>
      </c>
      <c r="D349">
        <v>8.4</v>
      </c>
      <c r="E349">
        <v>5</v>
      </c>
      <c r="F349">
        <v>8</v>
      </c>
      <c r="G349">
        <v>2</v>
      </c>
      <c r="H349">
        <v>3</v>
      </c>
      <c r="I349" t="s">
        <v>17</v>
      </c>
      <c r="J349">
        <v>8</v>
      </c>
    </row>
    <row r="350" spans="1:10" x14ac:dyDescent="0.5">
      <c r="A350" t="s">
        <v>347</v>
      </c>
      <c r="B350">
        <v>34</v>
      </c>
      <c r="C350" t="s">
        <v>11</v>
      </c>
      <c r="D350">
        <v>4.0999999999999996</v>
      </c>
      <c r="E350">
        <v>8</v>
      </c>
      <c r="F350">
        <v>4</v>
      </c>
      <c r="G350">
        <v>5</v>
      </c>
      <c r="H350">
        <v>4</v>
      </c>
      <c r="I350" t="s">
        <v>13</v>
      </c>
      <c r="J350">
        <v>10</v>
      </c>
    </row>
    <row r="351" spans="1:10" x14ac:dyDescent="0.5">
      <c r="A351" t="s">
        <v>348</v>
      </c>
      <c r="B351">
        <v>47</v>
      </c>
      <c r="C351" t="s">
        <v>11</v>
      </c>
      <c r="D351">
        <v>6</v>
      </c>
      <c r="E351">
        <v>6</v>
      </c>
      <c r="F351">
        <v>7</v>
      </c>
      <c r="G351">
        <v>3</v>
      </c>
      <c r="H351">
        <v>2</v>
      </c>
      <c r="I351" t="s">
        <v>23</v>
      </c>
      <c r="J351">
        <v>8</v>
      </c>
    </row>
    <row r="352" spans="1:10" x14ac:dyDescent="0.5">
      <c r="A352" t="s">
        <v>500</v>
      </c>
      <c r="B352">
        <v>16</v>
      </c>
      <c r="C352" t="s">
        <v>496</v>
      </c>
      <c r="D352">
        <v>7.3</v>
      </c>
      <c r="E352">
        <v>5</v>
      </c>
      <c r="F352">
        <v>9</v>
      </c>
      <c r="G352">
        <v>0</v>
      </c>
      <c r="H352">
        <v>2</v>
      </c>
      <c r="I352" t="s">
        <v>23</v>
      </c>
      <c r="J352">
        <v>8</v>
      </c>
    </row>
    <row r="353" spans="1:10" x14ac:dyDescent="0.5">
      <c r="A353" t="s">
        <v>349</v>
      </c>
      <c r="B353">
        <v>20</v>
      </c>
      <c r="C353" t="s">
        <v>16</v>
      </c>
      <c r="D353">
        <v>5</v>
      </c>
      <c r="E353">
        <v>6</v>
      </c>
      <c r="F353">
        <v>5</v>
      </c>
      <c r="G353">
        <v>3</v>
      </c>
      <c r="H353">
        <v>3</v>
      </c>
      <c r="I353" t="s">
        <v>14</v>
      </c>
      <c r="J353">
        <v>9</v>
      </c>
    </row>
    <row r="354" spans="1:10" x14ac:dyDescent="0.5">
      <c r="A354" t="s">
        <v>350</v>
      </c>
      <c r="B354">
        <v>19</v>
      </c>
      <c r="C354" t="s">
        <v>16</v>
      </c>
      <c r="D354">
        <v>6.1</v>
      </c>
      <c r="E354">
        <v>6</v>
      </c>
      <c r="F354">
        <v>8</v>
      </c>
      <c r="G354">
        <v>3</v>
      </c>
      <c r="H354">
        <v>3</v>
      </c>
      <c r="I354" t="s">
        <v>19</v>
      </c>
      <c r="J354">
        <v>9</v>
      </c>
    </row>
    <row r="355" spans="1:10" x14ac:dyDescent="0.5">
      <c r="A355" t="s">
        <v>351</v>
      </c>
      <c r="B355">
        <v>31</v>
      </c>
      <c r="C355" t="s">
        <v>11</v>
      </c>
      <c r="D355">
        <v>8.1</v>
      </c>
      <c r="E355">
        <v>5</v>
      </c>
      <c r="F355">
        <v>9</v>
      </c>
      <c r="G355">
        <v>2</v>
      </c>
      <c r="H355">
        <v>2</v>
      </c>
      <c r="I355" t="s">
        <v>23</v>
      </c>
      <c r="J355">
        <v>6</v>
      </c>
    </row>
    <row r="356" spans="1:10" x14ac:dyDescent="0.5">
      <c r="A356" t="s">
        <v>352</v>
      </c>
      <c r="B356">
        <v>39</v>
      </c>
      <c r="C356" t="s">
        <v>16</v>
      </c>
      <c r="D356">
        <v>6.5</v>
      </c>
      <c r="E356">
        <v>5</v>
      </c>
      <c r="F356">
        <v>5</v>
      </c>
      <c r="G356">
        <v>5</v>
      </c>
      <c r="H356">
        <v>0</v>
      </c>
      <c r="I356" t="s">
        <v>23</v>
      </c>
      <c r="J356">
        <v>10</v>
      </c>
    </row>
    <row r="357" spans="1:10" x14ac:dyDescent="0.5">
      <c r="A357" t="s">
        <v>353</v>
      </c>
      <c r="B357">
        <v>31</v>
      </c>
      <c r="C357" t="s">
        <v>11</v>
      </c>
      <c r="D357">
        <v>6.1</v>
      </c>
      <c r="E357">
        <v>6</v>
      </c>
      <c r="F357">
        <v>6</v>
      </c>
      <c r="G357">
        <v>2</v>
      </c>
      <c r="H357">
        <v>2</v>
      </c>
      <c r="I357" t="s">
        <v>19</v>
      </c>
      <c r="J357">
        <v>8</v>
      </c>
    </row>
    <row r="358" spans="1:10" x14ac:dyDescent="0.5">
      <c r="A358" t="s">
        <v>354</v>
      </c>
      <c r="B358">
        <v>17</v>
      </c>
      <c r="C358" t="s">
        <v>16</v>
      </c>
      <c r="D358">
        <v>2.5</v>
      </c>
      <c r="E358">
        <v>9</v>
      </c>
      <c r="F358">
        <v>4</v>
      </c>
      <c r="G358">
        <v>5</v>
      </c>
      <c r="H358">
        <v>4</v>
      </c>
      <c r="I358" t="s">
        <v>14</v>
      </c>
      <c r="J358">
        <v>10</v>
      </c>
    </row>
    <row r="359" spans="1:10" x14ac:dyDescent="0.5">
      <c r="A359" t="s">
        <v>355</v>
      </c>
      <c r="B359">
        <v>43</v>
      </c>
      <c r="C359" t="s">
        <v>11</v>
      </c>
      <c r="D359">
        <v>3.8</v>
      </c>
      <c r="E359">
        <v>8</v>
      </c>
      <c r="F359">
        <v>5</v>
      </c>
      <c r="G359">
        <v>4</v>
      </c>
      <c r="H359">
        <v>1</v>
      </c>
      <c r="I359" t="s">
        <v>13</v>
      </c>
      <c r="J359">
        <v>10</v>
      </c>
    </row>
    <row r="360" spans="1:10" x14ac:dyDescent="0.5">
      <c r="A360" t="s">
        <v>356</v>
      </c>
      <c r="B360">
        <v>47</v>
      </c>
      <c r="C360" t="s">
        <v>11</v>
      </c>
      <c r="D360">
        <v>7.4</v>
      </c>
      <c r="E360">
        <v>6</v>
      </c>
      <c r="F360">
        <v>7</v>
      </c>
      <c r="G360">
        <v>5</v>
      </c>
      <c r="H360">
        <v>2</v>
      </c>
      <c r="I360" t="s">
        <v>13</v>
      </c>
      <c r="J360">
        <v>7</v>
      </c>
    </row>
    <row r="361" spans="1:10" x14ac:dyDescent="0.5">
      <c r="A361" t="s">
        <v>357</v>
      </c>
      <c r="B361">
        <v>42</v>
      </c>
      <c r="C361" t="s">
        <v>11</v>
      </c>
      <c r="D361">
        <v>6.5</v>
      </c>
      <c r="E361">
        <v>5</v>
      </c>
      <c r="F361">
        <v>7</v>
      </c>
      <c r="G361">
        <v>1</v>
      </c>
      <c r="H361">
        <v>2</v>
      </c>
      <c r="I361" t="s">
        <v>23</v>
      </c>
      <c r="J361">
        <v>8</v>
      </c>
    </row>
    <row r="362" spans="1:10" x14ac:dyDescent="0.5">
      <c r="A362" t="s">
        <v>358</v>
      </c>
      <c r="B362">
        <v>35</v>
      </c>
      <c r="C362" t="s">
        <v>16</v>
      </c>
      <c r="D362">
        <v>6.8</v>
      </c>
      <c r="E362">
        <v>4</v>
      </c>
      <c r="F362">
        <v>9</v>
      </c>
      <c r="G362">
        <v>3</v>
      </c>
      <c r="H362">
        <v>0</v>
      </c>
      <c r="I362" t="s">
        <v>19</v>
      </c>
      <c r="J362">
        <v>7</v>
      </c>
    </row>
    <row r="363" spans="1:10" x14ac:dyDescent="0.5">
      <c r="A363" t="s">
        <v>359</v>
      </c>
      <c r="B363">
        <v>39</v>
      </c>
      <c r="C363" t="s">
        <v>16</v>
      </c>
      <c r="D363">
        <v>6.6</v>
      </c>
      <c r="E363">
        <v>6</v>
      </c>
      <c r="F363">
        <v>7</v>
      </c>
      <c r="G363">
        <v>3</v>
      </c>
      <c r="H363">
        <v>1</v>
      </c>
      <c r="I363" t="s">
        <v>23</v>
      </c>
      <c r="J363">
        <v>7</v>
      </c>
    </row>
    <row r="364" spans="1:10" x14ac:dyDescent="0.5">
      <c r="A364" t="s">
        <v>360</v>
      </c>
      <c r="B364">
        <v>27</v>
      </c>
      <c r="C364" t="s">
        <v>11</v>
      </c>
      <c r="D364">
        <v>7.8</v>
      </c>
      <c r="E364">
        <v>5</v>
      </c>
      <c r="F364">
        <v>8</v>
      </c>
      <c r="G364">
        <v>0</v>
      </c>
      <c r="H364">
        <v>4</v>
      </c>
      <c r="I364" t="s">
        <v>17</v>
      </c>
      <c r="J364">
        <v>6</v>
      </c>
    </row>
    <row r="365" spans="1:10" x14ac:dyDescent="0.5">
      <c r="A365" t="s">
        <v>361</v>
      </c>
      <c r="B365">
        <v>48</v>
      </c>
      <c r="C365" t="s">
        <v>16</v>
      </c>
      <c r="D365">
        <v>5</v>
      </c>
      <c r="E365">
        <v>8</v>
      </c>
      <c r="F365">
        <v>6</v>
      </c>
      <c r="G365">
        <v>5</v>
      </c>
      <c r="H365">
        <v>0</v>
      </c>
      <c r="I365" t="s">
        <v>13</v>
      </c>
      <c r="J365">
        <v>10</v>
      </c>
    </row>
    <row r="366" spans="1:10" x14ac:dyDescent="0.5">
      <c r="A366" t="s">
        <v>362</v>
      </c>
      <c r="B366">
        <v>48</v>
      </c>
      <c r="C366" t="s">
        <v>11</v>
      </c>
      <c r="D366">
        <v>5.7</v>
      </c>
      <c r="E366">
        <v>7</v>
      </c>
      <c r="F366">
        <v>7</v>
      </c>
      <c r="G366">
        <v>1</v>
      </c>
      <c r="H366">
        <v>3</v>
      </c>
      <c r="I366" t="s">
        <v>12</v>
      </c>
      <c r="J366">
        <v>9</v>
      </c>
    </row>
    <row r="367" spans="1:10" x14ac:dyDescent="0.5">
      <c r="A367" t="s">
        <v>363</v>
      </c>
      <c r="B367">
        <v>27</v>
      </c>
      <c r="C367" t="s">
        <v>16</v>
      </c>
      <c r="D367">
        <v>3.6</v>
      </c>
      <c r="E367">
        <v>8</v>
      </c>
      <c r="F367">
        <v>5</v>
      </c>
      <c r="G367">
        <v>2</v>
      </c>
      <c r="H367">
        <v>1</v>
      </c>
      <c r="I367" t="s">
        <v>17</v>
      </c>
      <c r="J367">
        <v>10</v>
      </c>
    </row>
    <row r="368" spans="1:10" x14ac:dyDescent="0.5">
      <c r="A368" t="s">
        <v>364</v>
      </c>
      <c r="B368">
        <v>18</v>
      </c>
      <c r="C368" t="s">
        <v>11</v>
      </c>
      <c r="D368">
        <v>3.2</v>
      </c>
      <c r="E368">
        <v>9</v>
      </c>
      <c r="F368">
        <v>5</v>
      </c>
      <c r="G368">
        <v>1</v>
      </c>
      <c r="H368">
        <v>3</v>
      </c>
      <c r="I368" t="s">
        <v>23</v>
      </c>
      <c r="J368">
        <v>10</v>
      </c>
    </row>
    <row r="369" spans="1:10" x14ac:dyDescent="0.5">
      <c r="A369" t="s">
        <v>365</v>
      </c>
      <c r="B369">
        <v>16</v>
      </c>
      <c r="C369" t="s">
        <v>11</v>
      </c>
      <c r="D369">
        <v>2.5</v>
      </c>
      <c r="E369">
        <v>8</v>
      </c>
      <c r="F369">
        <v>4</v>
      </c>
      <c r="G369">
        <v>4</v>
      </c>
      <c r="H369">
        <v>4</v>
      </c>
      <c r="I369" t="s">
        <v>14</v>
      </c>
      <c r="J369">
        <v>10</v>
      </c>
    </row>
    <row r="370" spans="1:10" x14ac:dyDescent="0.5">
      <c r="A370" t="s">
        <v>366</v>
      </c>
      <c r="B370">
        <v>48</v>
      </c>
      <c r="C370" t="s">
        <v>16</v>
      </c>
      <c r="D370">
        <v>3.9</v>
      </c>
      <c r="E370">
        <v>6</v>
      </c>
      <c r="F370">
        <v>5</v>
      </c>
      <c r="G370">
        <v>0</v>
      </c>
      <c r="H370">
        <v>2</v>
      </c>
      <c r="I370" t="s">
        <v>13</v>
      </c>
      <c r="J370">
        <v>10</v>
      </c>
    </row>
    <row r="371" spans="1:10" x14ac:dyDescent="0.5">
      <c r="A371" t="s">
        <v>367</v>
      </c>
      <c r="B371">
        <v>25</v>
      </c>
      <c r="C371" t="s">
        <v>11</v>
      </c>
      <c r="D371">
        <v>8.3000000000000007</v>
      </c>
      <c r="E371">
        <v>5</v>
      </c>
      <c r="F371">
        <v>8</v>
      </c>
      <c r="G371">
        <v>4</v>
      </c>
      <c r="H371">
        <v>2</v>
      </c>
      <c r="I371" t="s">
        <v>12</v>
      </c>
      <c r="J371">
        <v>7</v>
      </c>
    </row>
    <row r="372" spans="1:10" x14ac:dyDescent="0.5">
      <c r="A372" t="s">
        <v>368</v>
      </c>
      <c r="B372">
        <v>44</v>
      </c>
      <c r="C372" t="s">
        <v>11</v>
      </c>
      <c r="D372">
        <v>2.7</v>
      </c>
      <c r="E372">
        <v>9</v>
      </c>
      <c r="F372">
        <v>5</v>
      </c>
      <c r="G372">
        <v>5</v>
      </c>
      <c r="H372">
        <v>1</v>
      </c>
      <c r="I372" t="s">
        <v>17</v>
      </c>
      <c r="J372">
        <v>10</v>
      </c>
    </row>
    <row r="373" spans="1:10" x14ac:dyDescent="0.5">
      <c r="A373" t="s">
        <v>369</v>
      </c>
      <c r="B373">
        <v>28</v>
      </c>
      <c r="C373" t="s">
        <v>16</v>
      </c>
      <c r="D373">
        <v>5</v>
      </c>
      <c r="E373">
        <v>7</v>
      </c>
      <c r="F373">
        <v>5</v>
      </c>
      <c r="G373">
        <v>4</v>
      </c>
      <c r="H373">
        <v>0</v>
      </c>
      <c r="I373" t="s">
        <v>13</v>
      </c>
      <c r="J373">
        <v>9</v>
      </c>
    </row>
    <row r="374" spans="1:10" x14ac:dyDescent="0.5">
      <c r="A374" t="s">
        <v>499</v>
      </c>
      <c r="B374">
        <v>27</v>
      </c>
      <c r="C374" t="s">
        <v>496</v>
      </c>
      <c r="D374">
        <v>3.2</v>
      </c>
      <c r="E374">
        <v>9</v>
      </c>
      <c r="F374">
        <v>6</v>
      </c>
      <c r="G374">
        <v>4</v>
      </c>
      <c r="H374">
        <v>5</v>
      </c>
      <c r="I374" t="s">
        <v>19</v>
      </c>
      <c r="J374">
        <v>10</v>
      </c>
    </row>
    <row r="375" spans="1:10" x14ac:dyDescent="0.5">
      <c r="A375" t="s">
        <v>370</v>
      </c>
      <c r="B375">
        <v>46</v>
      </c>
      <c r="C375" t="s">
        <v>11</v>
      </c>
      <c r="D375">
        <v>4.4000000000000004</v>
      </c>
      <c r="E375">
        <v>7</v>
      </c>
      <c r="F375">
        <v>7</v>
      </c>
      <c r="G375">
        <v>5</v>
      </c>
      <c r="H375">
        <v>1</v>
      </c>
      <c r="I375" t="s">
        <v>14</v>
      </c>
      <c r="J375">
        <v>8</v>
      </c>
    </row>
    <row r="376" spans="1:10" x14ac:dyDescent="0.5">
      <c r="A376" t="s">
        <v>371</v>
      </c>
      <c r="B376">
        <v>17</v>
      </c>
      <c r="C376" t="s">
        <v>11</v>
      </c>
      <c r="D376">
        <v>5.8</v>
      </c>
      <c r="E376">
        <v>6</v>
      </c>
      <c r="F376">
        <v>7</v>
      </c>
      <c r="G376">
        <v>1</v>
      </c>
      <c r="H376">
        <v>5</v>
      </c>
      <c r="I376" t="s">
        <v>17</v>
      </c>
      <c r="J376">
        <v>9</v>
      </c>
    </row>
    <row r="377" spans="1:10" x14ac:dyDescent="0.5">
      <c r="A377" t="s">
        <v>372</v>
      </c>
      <c r="B377">
        <v>38</v>
      </c>
      <c r="C377" t="s">
        <v>16</v>
      </c>
      <c r="D377">
        <v>4.2</v>
      </c>
      <c r="E377">
        <v>8</v>
      </c>
      <c r="F377">
        <v>5</v>
      </c>
      <c r="G377">
        <v>6</v>
      </c>
      <c r="H377">
        <v>1</v>
      </c>
      <c r="I377" t="s">
        <v>19</v>
      </c>
      <c r="J377">
        <v>10</v>
      </c>
    </row>
    <row r="378" spans="1:10" x14ac:dyDescent="0.5">
      <c r="A378" t="s">
        <v>373</v>
      </c>
      <c r="B378">
        <v>32</v>
      </c>
      <c r="C378" t="s">
        <v>11</v>
      </c>
      <c r="D378">
        <v>7.5</v>
      </c>
      <c r="E378">
        <v>4</v>
      </c>
      <c r="F378">
        <v>7</v>
      </c>
      <c r="G378">
        <v>2</v>
      </c>
      <c r="H378">
        <v>3</v>
      </c>
      <c r="I378" t="s">
        <v>23</v>
      </c>
      <c r="J378">
        <v>6</v>
      </c>
    </row>
    <row r="379" spans="1:10" x14ac:dyDescent="0.5">
      <c r="A379" t="s">
        <v>374</v>
      </c>
      <c r="B379">
        <v>41</v>
      </c>
      <c r="C379" t="s">
        <v>11</v>
      </c>
      <c r="D379">
        <v>8.3000000000000007</v>
      </c>
      <c r="E379">
        <v>4</v>
      </c>
      <c r="F379">
        <v>10</v>
      </c>
      <c r="G379">
        <v>3</v>
      </c>
      <c r="H379">
        <v>1</v>
      </c>
      <c r="I379" t="s">
        <v>19</v>
      </c>
      <c r="J379">
        <v>6</v>
      </c>
    </row>
    <row r="380" spans="1:10" x14ac:dyDescent="0.5">
      <c r="A380" t="s">
        <v>375</v>
      </c>
      <c r="B380">
        <v>23</v>
      </c>
      <c r="C380" t="s">
        <v>11</v>
      </c>
      <c r="D380">
        <v>1.5</v>
      </c>
      <c r="E380">
        <v>9</v>
      </c>
      <c r="F380">
        <v>3</v>
      </c>
      <c r="G380">
        <v>2</v>
      </c>
      <c r="H380">
        <v>3</v>
      </c>
      <c r="I380" t="s">
        <v>17</v>
      </c>
      <c r="J380">
        <v>10</v>
      </c>
    </row>
    <row r="381" spans="1:10" x14ac:dyDescent="0.5">
      <c r="A381" t="s">
        <v>376</v>
      </c>
      <c r="B381">
        <v>44</v>
      </c>
      <c r="C381" t="s">
        <v>16</v>
      </c>
      <c r="D381">
        <v>4.3</v>
      </c>
      <c r="E381">
        <v>8</v>
      </c>
      <c r="F381">
        <v>7</v>
      </c>
      <c r="G381">
        <v>4</v>
      </c>
      <c r="H381">
        <v>2</v>
      </c>
      <c r="I381" t="s">
        <v>17</v>
      </c>
      <c r="J381">
        <v>10</v>
      </c>
    </row>
    <row r="382" spans="1:10" x14ac:dyDescent="0.5">
      <c r="A382" t="s">
        <v>377</v>
      </c>
      <c r="B382">
        <v>41</v>
      </c>
      <c r="C382" t="s">
        <v>16</v>
      </c>
      <c r="D382">
        <v>5.6</v>
      </c>
      <c r="E382">
        <v>6</v>
      </c>
      <c r="F382">
        <v>7</v>
      </c>
      <c r="G382">
        <v>2</v>
      </c>
      <c r="H382">
        <v>2</v>
      </c>
      <c r="I382" t="s">
        <v>23</v>
      </c>
      <c r="J382">
        <v>9</v>
      </c>
    </row>
    <row r="383" spans="1:10" x14ac:dyDescent="0.5">
      <c r="A383" t="s">
        <v>378</v>
      </c>
      <c r="B383">
        <v>25</v>
      </c>
      <c r="C383" t="s">
        <v>11</v>
      </c>
      <c r="D383">
        <v>7.5</v>
      </c>
      <c r="E383">
        <v>4</v>
      </c>
      <c r="F383">
        <v>8</v>
      </c>
      <c r="G383">
        <v>3</v>
      </c>
      <c r="H383">
        <v>3</v>
      </c>
      <c r="I383" t="s">
        <v>19</v>
      </c>
      <c r="J383">
        <v>7</v>
      </c>
    </row>
    <row r="384" spans="1:10" x14ac:dyDescent="0.5">
      <c r="A384" t="s">
        <v>379</v>
      </c>
      <c r="B384">
        <v>41</v>
      </c>
      <c r="C384" t="s">
        <v>11</v>
      </c>
      <c r="D384">
        <v>4.7</v>
      </c>
      <c r="E384">
        <v>6</v>
      </c>
      <c r="F384">
        <v>6</v>
      </c>
      <c r="G384">
        <v>1</v>
      </c>
      <c r="H384">
        <v>2</v>
      </c>
      <c r="I384" t="s">
        <v>19</v>
      </c>
      <c r="J384">
        <v>9</v>
      </c>
    </row>
    <row r="385" spans="1:10" x14ac:dyDescent="0.5">
      <c r="A385" t="s">
        <v>380</v>
      </c>
      <c r="B385">
        <v>49</v>
      </c>
      <c r="C385" t="s">
        <v>11</v>
      </c>
      <c r="D385">
        <v>5.5</v>
      </c>
      <c r="E385">
        <v>7</v>
      </c>
      <c r="F385">
        <v>5</v>
      </c>
      <c r="G385">
        <v>5</v>
      </c>
      <c r="H385">
        <v>0</v>
      </c>
      <c r="I385" t="s">
        <v>23</v>
      </c>
      <c r="J385">
        <v>10</v>
      </c>
    </row>
    <row r="386" spans="1:10" x14ac:dyDescent="0.5">
      <c r="A386" t="s">
        <v>381</v>
      </c>
      <c r="B386">
        <v>22</v>
      </c>
      <c r="C386" t="s">
        <v>16</v>
      </c>
      <c r="D386">
        <v>3.4</v>
      </c>
      <c r="E386">
        <v>8</v>
      </c>
      <c r="F386">
        <v>6</v>
      </c>
      <c r="G386">
        <v>4</v>
      </c>
      <c r="H386">
        <v>4</v>
      </c>
      <c r="I386" t="s">
        <v>19</v>
      </c>
      <c r="J386">
        <v>10</v>
      </c>
    </row>
    <row r="387" spans="1:10" x14ac:dyDescent="0.5">
      <c r="A387" t="s">
        <v>382</v>
      </c>
      <c r="B387">
        <v>19</v>
      </c>
      <c r="C387" t="s">
        <v>11</v>
      </c>
      <c r="D387">
        <v>2.7</v>
      </c>
      <c r="E387">
        <v>8</v>
      </c>
      <c r="F387">
        <v>5</v>
      </c>
      <c r="G387">
        <v>2</v>
      </c>
      <c r="H387">
        <v>1</v>
      </c>
      <c r="I387" t="s">
        <v>13</v>
      </c>
      <c r="J387">
        <v>9</v>
      </c>
    </row>
    <row r="388" spans="1:10" x14ac:dyDescent="0.5">
      <c r="A388" t="s">
        <v>383</v>
      </c>
      <c r="B388">
        <v>26</v>
      </c>
      <c r="C388" t="s">
        <v>11</v>
      </c>
      <c r="D388">
        <v>8.1</v>
      </c>
      <c r="E388">
        <v>5</v>
      </c>
      <c r="F388">
        <v>7</v>
      </c>
      <c r="G388">
        <v>2</v>
      </c>
      <c r="H388">
        <v>3</v>
      </c>
      <c r="I388" t="s">
        <v>23</v>
      </c>
      <c r="J388">
        <v>7</v>
      </c>
    </row>
    <row r="389" spans="1:10" x14ac:dyDescent="0.5">
      <c r="A389" t="s">
        <v>384</v>
      </c>
      <c r="B389">
        <v>44</v>
      </c>
      <c r="C389" t="s">
        <v>16</v>
      </c>
      <c r="D389">
        <v>2.2000000000000002</v>
      </c>
      <c r="E389">
        <v>9</v>
      </c>
      <c r="F389">
        <v>4</v>
      </c>
      <c r="G389">
        <v>4</v>
      </c>
      <c r="H389">
        <v>4</v>
      </c>
      <c r="I389" t="s">
        <v>14</v>
      </c>
      <c r="J389">
        <v>10</v>
      </c>
    </row>
    <row r="390" spans="1:10" x14ac:dyDescent="0.5">
      <c r="A390" t="s">
        <v>385</v>
      </c>
      <c r="B390">
        <v>40</v>
      </c>
      <c r="C390" t="s">
        <v>11</v>
      </c>
      <c r="D390">
        <v>9.6999999999999993</v>
      </c>
      <c r="E390">
        <v>4</v>
      </c>
      <c r="F390">
        <v>10</v>
      </c>
      <c r="G390">
        <v>2</v>
      </c>
      <c r="H390">
        <v>2</v>
      </c>
      <c r="I390" t="s">
        <v>17</v>
      </c>
      <c r="J390">
        <v>6</v>
      </c>
    </row>
    <row r="391" spans="1:10" x14ac:dyDescent="0.5">
      <c r="A391" t="s">
        <v>386</v>
      </c>
      <c r="B391">
        <v>36</v>
      </c>
      <c r="C391" t="s">
        <v>16</v>
      </c>
      <c r="D391">
        <v>6.8</v>
      </c>
      <c r="E391">
        <v>5</v>
      </c>
      <c r="F391">
        <v>8</v>
      </c>
      <c r="G391">
        <v>3</v>
      </c>
      <c r="H391">
        <v>4</v>
      </c>
      <c r="I391" t="s">
        <v>14</v>
      </c>
      <c r="J391">
        <v>8</v>
      </c>
    </row>
    <row r="392" spans="1:10" x14ac:dyDescent="0.5">
      <c r="A392" t="s">
        <v>387</v>
      </c>
      <c r="B392">
        <v>25</v>
      </c>
      <c r="C392" t="s">
        <v>11</v>
      </c>
      <c r="D392">
        <v>6.7</v>
      </c>
      <c r="E392">
        <v>7</v>
      </c>
      <c r="F392">
        <v>7</v>
      </c>
      <c r="G392">
        <v>5</v>
      </c>
      <c r="H392">
        <v>3</v>
      </c>
      <c r="I392" t="s">
        <v>13</v>
      </c>
      <c r="J392">
        <v>8</v>
      </c>
    </row>
    <row r="393" spans="1:10" x14ac:dyDescent="0.5">
      <c r="A393" t="s">
        <v>388</v>
      </c>
      <c r="B393">
        <v>24</v>
      </c>
      <c r="C393" t="s">
        <v>11</v>
      </c>
      <c r="D393">
        <v>6.5</v>
      </c>
      <c r="E393">
        <v>7</v>
      </c>
      <c r="F393">
        <v>6</v>
      </c>
      <c r="G393">
        <v>1</v>
      </c>
      <c r="H393">
        <v>1</v>
      </c>
      <c r="I393" t="s">
        <v>13</v>
      </c>
      <c r="J393">
        <v>7</v>
      </c>
    </row>
    <row r="394" spans="1:10" x14ac:dyDescent="0.5">
      <c r="A394" t="s">
        <v>389</v>
      </c>
      <c r="B394">
        <v>39</v>
      </c>
      <c r="C394" t="s">
        <v>11</v>
      </c>
      <c r="D394">
        <v>5</v>
      </c>
      <c r="E394">
        <v>5</v>
      </c>
      <c r="F394">
        <v>6</v>
      </c>
      <c r="G394">
        <v>4</v>
      </c>
      <c r="H394">
        <v>5</v>
      </c>
      <c r="I394" t="s">
        <v>12</v>
      </c>
      <c r="J394">
        <v>8</v>
      </c>
    </row>
    <row r="395" spans="1:10" x14ac:dyDescent="0.5">
      <c r="A395" t="s">
        <v>390</v>
      </c>
      <c r="B395">
        <v>33</v>
      </c>
      <c r="C395" t="s">
        <v>16</v>
      </c>
      <c r="D395">
        <v>6.2</v>
      </c>
      <c r="E395">
        <v>6</v>
      </c>
      <c r="F395">
        <v>7</v>
      </c>
      <c r="G395">
        <v>4</v>
      </c>
      <c r="H395">
        <v>1</v>
      </c>
      <c r="I395" t="s">
        <v>12</v>
      </c>
      <c r="J395">
        <v>9</v>
      </c>
    </row>
    <row r="396" spans="1:10" x14ac:dyDescent="0.5">
      <c r="A396" t="s">
        <v>391</v>
      </c>
      <c r="B396">
        <v>47</v>
      </c>
      <c r="C396" t="s">
        <v>16</v>
      </c>
      <c r="D396">
        <v>5.2</v>
      </c>
      <c r="E396">
        <v>7</v>
      </c>
      <c r="F396">
        <v>7</v>
      </c>
      <c r="G396">
        <v>3</v>
      </c>
      <c r="H396">
        <v>2</v>
      </c>
      <c r="I396" t="s">
        <v>12</v>
      </c>
      <c r="J396">
        <v>9</v>
      </c>
    </row>
    <row r="397" spans="1:10" x14ac:dyDescent="0.5">
      <c r="A397" t="s">
        <v>392</v>
      </c>
      <c r="B397">
        <v>39</v>
      </c>
      <c r="C397" t="s">
        <v>16</v>
      </c>
      <c r="D397">
        <v>6.5</v>
      </c>
      <c r="E397">
        <v>5</v>
      </c>
      <c r="F397">
        <v>7</v>
      </c>
      <c r="G397">
        <v>2</v>
      </c>
      <c r="H397">
        <v>2</v>
      </c>
      <c r="I397" t="s">
        <v>23</v>
      </c>
      <c r="J397">
        <v>8</v>
      </c>
    </row>
    <row r="398" spans="1:10" x14ac:dyDescent="0.5">
      <c r="A398" t="s">
        <v>393</v>
      </c>
      <c r="B398">
        <v>38</v>
      </c>
      <c r="C398" t="s">
        <v>11</v>
      </c>
      <c r="D398">
        <v>5.4</v>
      </c>
      <c r="E398">
        <v>8</v>
      </c>
      <c r="F398">
        <v>9</v>
      </c>
      <c r="G398">
        <v>5</v>
      </c>
      <c r="H398">
        <v>3</v>
      </c>
      <c r="I398" t="s">
        <v>19</v>
      </c>
      <c r="J398">
        <v>8</v>
      </c>
    </row>
    <row r="399" spans="1:10" x14ac:dyDescent="0.5">
      <c r="A399" t="s">
        <v>394</v>
      </c>
      <c r="B399">
        <v>47</v>
      </c>
      <c r="C399" t="s">
        <v>16</v>
      </c>
      <c r="D399">
        <v>3.8</v>
      </c>
      <c r="E399">
        <v>8</v>
      </c>
      <c r="F399">
        <v>4</v>
      </c>
      <c r="G399">
        <v>2</v>
      </c>
      <c r="H399">
        <v>4</v>
      </c>
      <c r="I399" t="s">
        <v>13</v>
      </c>
      <c r="J399">
        <v>10</v>
      </c>
    </row>
    <row r="400" spans="1:10" x14ac:dyDescent="0.5">
      <c r="A400" t="s">
        <v>395</v>
      </c>
      <c r="B400">
        <v>27</v>
      </c>
      <c r="C400" t="s">
        <v>11</v>
      </c>
      <c r="D400">
        <v>3.9</v>
      </c>
      <c r="E400">
        <v>7</v>
      </c>
      <c r="F400">
        <v>5</v>
      </c>
      <c r="G400">
        <v>0</v>
      </c>
      <c r="H400">
        <v>4</v>
      </c>
      <c r="I400" t="s">
        <v>14</v>
      </c>
      <c r="J400">
        <v>10</v>
      </c>
    </row>
    <row r="401" spans="1:10" x14ac:dyDescent="0.5">
      <c r="A401" t="s">
        <v>396</v>
      </c>
      <c r="B401">
        <v>28</v>
      </c>
      <c r="C401" t="s">
        <v>11</v>
      </c>
      <c r="D401">
        <v>3.7</v>
      </c>
      <c r="E401">
        <v>8</v>
      </c>
      <c r="F401">
        <v>5</v>
      </c>
      <c r="G401">
        <v>4</v>
      </c>
      <c r="H401">
        <v>3</v>
      </c>
      <c r="I401" t="s">
        <v>14</v>
      </c>
      <c r="J401">
        <v>10</v>
      </c>
    </row>
    <row r="402" spans="1:10" x14ac:dyDescent="0.5">
      <c r="A402" t="s">
        <v>397</v>
      </c>
      <c r="B402">
        <v>38</v>
      </c>
      <c r="C402" t="s">
        <v>16</v>
      </c>
      <c r="D402">
        <v>7.2</v>
      </c>
      <c r="E402">
        <v>5</v>
      </c>
      <c r="F402">
        <v>8</v>
      </c>
      <c r="G402">
        <v>1</v>
      </c>
      <c r="H402">
        <v>2</v>
      </c>
      <c r="I402" t="s">
        <v>14</v>
      </c>
      <c r="J402">
        <v>9</v>
      </c>
    </row>
    <row r="403" spans="1:10" x14ac:dyDescent="0.5">
      <c r="A403" t="s">
        <v>398</v>
      </c>
      <c r="B403">
        <v>40</v>
      </c>
      <c r="C403" t="s">
        <v>11</v>
      </c>
      <c r="D403">
        <v>4.4000000000000004</v>
      </c>
      <c r="E403">
        <v>7</v>
      </c>
      <c r="F403">
        <v>5</v>
      </c>
      <c r="G403">
        <v>4</v>
      </c>
      <c r="H403">
        <v>0</v>
      </c>
      <c r="I403" t="s">
        <v>14</v>
      </c>
      <c r="J403">
        <v>10</v>
      </c>
    </row>
    <row r="404" spans="1:10" x14ac:dyDescent="0.5">
      <c r="A404" t="s">
        <v>399</v>
      </c>
      <c r="B404">
        <v>45</v>
      </c>
      <c r="C404" t="s">
        <v>11</v>
      </c>
      <c r="D404">
        <v>2.1</v>
      </c>
      <c r="E404">
        <v>10</v>
      </c>
      <c r="F404">
        <v>5</v>
      </c>
      <c r="G404">
        <v>6</v>
      </c>
      <c r="H404">
        <v>1</v>
      </c>
      <c r="I404" t="s">
        <v>12</v>
      </c>
      <c r="J404">
        <v>10</v>
      </c>
    </row>
    <row r="405" spans="1:10" x14ac:dyDescent="0.5">
      <c r="A405" t="s">
        <v>400</v>
      </c>
      <c r="B405">
        <v>32</v>
      </c>
      <c r="C405" t="s">
        <v>11</v>
      </c>
      <c r="D405">
        <v>6.2</v>
      </c>
      <c r="E405">
        <v>6</v>
      </c>
      <c r="F405">
        <v>8</v>
      </c>
      <c r="G405">
        <v>4</v>
      </c>
      <c r="H405">
        <v>5</v>
      </c>
      <c r="I405" t="s">
        <v>14</v>
      </c>
      <c r="J405">
        <v>7</v>
      </c>
    </row>
    <row r="406" spans="1:10" x14ac:dyDescent="0.5">
      <c r="A406" t="s">
        <v>401</v>
      </c>
      <c r="B406">
        <v>35</v>
      </c>
      <c r="C406" t="s">
        <v>11</v>
      </c>
      <c r="D406">
        <v>8.1999999999999993</v>
      </c>
      <c r="E406">
        <v>4</v>
      </c>
      <c r="F406">
        <v>9</v>
      </c>
      <c r="G406">
        <v>5</v>
      </c>
      <c r="H406">
        <v>0</v>
      </c>
      <c r="I406" t="s">
        <v>19</v>
      </c>
      <c r="J406">
        <v>6</v>
      </c>
    </row>
    <row r="407" spans="1:10" x14ac:dyDescent="0.5">
      <c r="A407" t="s">
        <v>402</v>
      </c>
      <c r="B407">
        <v>40</v>
      </c>
      <c r="C407" t="s">
        <v>11</v>
      </c>
      <c r="D407">
        <v>6.9</v>
      </c>
      <c r="E407">
        <v>3</v>
      </c>
      <c r="F407">
        <v>8</v>
      </c>
      <c r="G407">
        <v>7</v>
      </c>
      <c r="H407">
        <v>1</v>
      </c>
      <c r="I407" t="s">
        <v>12</v>
      </c>
      <c r="J407">
        <v>6</v>
      </c>
    </row>
    <row r="408" spans="1:10" x14ac:dyDescent="0.5">
      <c r="A408" t="s">
        <v>403</v>
      </c>
      <c r="B408">
        <v>37</v>
      </c>
      <c r="C408" t="s">
        <v>16</v>
      </c>
      <c r="D408">
        <v>4.4000000000000004</v>
      </c>
      <c r="E408">
        <v>7</v>
      </c>
      <c r="F408">
        <v>6</v>
      </c>
      <c r="G408">
        <v>5</v>
      </c>
      <c r="H408">
        <v>4</v>
      </c>
      <c r="I408" t="s">
        <v>14</v>
      </c>
      <c r="J408">
        <v>10</v>
      </c>
    </row>
    <row r="409" spans="1:10" x14ac:dyDescent="0.5">
      <c r="A409" t="s">
        <v>404</v>
      </c>
      <c r="B409">
        <v>28</v>
      </c>
      <c r="C409" t="s">
        <v>11</v>
      </c>
      <c r="D409">
        <v>2.6</v>
      </c>
      <c r="E409">
        <v>10</v>
      </c>
      <c r="F409">
        <v>3</v>
      </c>
      <c r="G409">
        <v>4</v>
      </c>
      <c r="H409">
        <v>3</v>
      </c>
      <c r="I409" t="s">
        <v>23</v>
      </c>
      <c r="J409">
        <v>10</v>
      </c>
    </row>
    <row r="410" spans="1:10" x14ac:dyDescent="0.5">
      <c r="A410" t="s">
        <v>405</v>
      </c>
      <c r="B410">
        <v>34</v>
      </c>
      <c r="C410" t="s">
        <v>16</v>
      </c>
      <c r="D410">
        <v>5.3</v>
      </c>
      <c r="E410">
        <v>6</v>
      </c>
      <c r="F410">
        <v>6</v>
      </c>
      <c r="G410">
        <v>6</v>
      </c>
      <c r="H410">
        <v>4</v>
      </c>
      <c r="I410" t="s">
        <v>17</v>
      </c>
      <c r="J410">
        <v>8</v>
      </c>
    </row>
    <row r="411" spans="1:10" x14ac:dyDescent="0.5">
      <c r="A411" t="s">
        <v>406</v>
      </c>
      <c r="B411">
        <v>27</v>
      </c>
      <c r="C411" t="s">
        <v>16</v>
      </c>
      <c r="D411">
        <v>5.2</v>
      </c>
      <c r="E411">
        <v>4</v>
      </c>
      <c r="F411">
        <v>7</v>
      </c>
      <c r="G411">
        <v>7</v>
      </c>
      <c r="H411">
        <v>3</v>
      </c>
      <c r="I411" t="s">
        <v>17</v>
      </c>
      <c r="J411">
        <v>9</v>
      </c>
    </row>
    <row r="412" spans="1:10" x14ac:dyDescent="0.5">
      <c r="A412" t="s">
        <v>407</v>
      </c>
      <c r="B412">
        <v>34</v>
      </c>
      <c r="C412" t="s">
        <v>11</v>
      </c>
      <c r="D412">
        <v>3.8</v>
      </c>
      <c r="E412">
        <v>7</v>
      </c>
      <c r="F412">
        <v>6</v>
      </c>
      <c r="G412">
        <v>7</v>
      </c>
      <c r="H412">
        <v>5</v>
      </c>
      <c r="I412" t="s">
        <v>17</v>
      </c>
      <c r="J412">
        <v>10</v>
      </c>
    </row>
    <row r="413" spans="1:10" x14ac:dyDescent="0.5">
      <c r="A413" t="s">
        <v>408</v>
      </c>
      <c r="B413">
        <v>27</v>
      </c>
      <c r="C413" t="s">
        <v>11</v>
      </c>
      <c r="D413">
        <v>6.5</v>
      </c>
      <c r="E413">
        <v>7</v>
      </c>
      <c r="F413">
        <v>7</v>
      </c>
      <c r="G413">
        <v>2</v>
      </c>
      <c r="H413">
        <v>3</v>
      </c>
      <c r="I413" t="s">
        <v>12</v>
      </c>
      <c r="J413">
        <v>10</v>
      </c>
    </row>
    <row r="414" spans="1:10" x14ac:dyDescent="0.5">
      <c r="A414" t="s">
        <v>409</v>
      </c>
      <c r="B414">
        <v>24</v>
      </c>
      <c r="C414" t="s">
        <v>11</v>
      </c>
      <c r="D414">
        <v>8.8000000000000007</v>
      </c>
      <c r="E414">
        <v>5</v>
      </c>
      <c r="F414">
        <v>9</v>
      </c>
      <c r="G414">
        <v>0</v>
      </c>
      <c r="H414">
        <v>3</v>
      </c>
      <c r="I414" t="s">
        <v>14</v>
      </c>
      <c r="J414">
        <v>6</v>
      </c>
    </row>
    <row r="415" spans="1:10" x14ac:dyDescent="0.5">
      <c r="A415" t="s">
        <v>410</v>
      </c>
      <c r="B415">
        <v>22</v>
      </c>
      <c r="C415" t="s">
        <v>16</v>
      </c>
      <c r="D415">
        <v>5.9</v>
      </c>
      <c r="E415">
        <v>5</v>
      </c>
      <c r="F415">
        <v>6</v>
      </c>
      <c r="G415">
        <v>2</v>
      </c>
      <c r="H415">
        <v>1</v>
      </c>
      <c r="I415" t="s">
        <v>13</v>
      </c>
      <c r="J415">
        <v>9</v>
      </c>
    </row>
    <row r="416" spans="1:10" x14ac:dyDescent="0.5">
      <c r="A416" t="s">
        <v>411</v>
      </c>
      <c r="B416">
        <v>43</v>
      </c>
      <c r="C416" t="s">
        <v>11</v>
      </c>
      <c r="D416">
        <v>5.8</v>
      </c>
      <c r="E416">
        <v>6</v>
      </c>
      <c r="F416">
        <v>7</v>
      </c>
      <c r="G416">
        <v>4</v>
      </c>
      <c r="H416">
        <v>3</v>
      </c>
      <c r="I416" t="s">
        <v>13</v>
      </c>
      <c r="J416">
        <v>9</v>
      </c>
    </row>
    <row r="417" spans="1:10" x14ac:dyDescent="0.5">
      <c r="A417" t="s">
        <v>412</v>
      </c>
      <c r="B417">
        <v>29</v>
      </c>
      <c r="C417" t="s">
        <v>16</v>
      </c>
      <c r="D417">
        <v>3.8</v>
      </c>
      <c r="E417">
        <v>7</v>
      </c>
      <c r="F417">
        <v>6</v>
      </c>
      <c r="G417">
        <v>3</v>
      </c>
      <c r="H417">
        <v>2</v>
      </c>
      <c r="I417" t="s">
        <v>13</v>
      </c>
      <c r="J417">
        <v>8</v>
      </c>
    </row>
    <row r="418" spans="1:10" x14ac:dyDescent="0.5">
      <c r="A418" t="s">
        <v>413</v>
      </c>
      <c r="B418">
        <v>46</v>
      </c>
      <c r="C418" t="s">
        <v>11</v>
      </c>
      <c r="D418">
        <v>8</v>
      </c>
      <c r="E418">
        <v>4</v>
      </c>
      <c r="F418">
        <v>8</v>
      </c>
      <c r="G418">
        <v>3</v>
      </c>
      <c r="H418">
        <v>2</v>
      </c>
      <c r="I418" t="s">
        <v>12</v>
      </c>
      <c r="J418">
        <v>9</v>
      </c>
    </row>
    <row r="419" spans="1:10" x14ac:dyDescent="0.5">
      <c r="A419" t="s">
        <v>414</v>
      </c>
      <c r="B419">
        <v>34</v>
      </c>
      <c r="C419" t="s">
        <v>16</v>
      </c>
      <c r="D419">
        <v>5.4</v>
      </c>
      <c r="E419">
        <v>4</v>
      </c>
      <c r="F419">
        <v>5</v>
      </c>
      <c r="G419">
        <v>4</v>
      </c>
      <c r="H419">
        <v>4</v>
      </c>
      <c r="I419" t="s">
        <v>19</v>
      </c>
      <c r="J419">
        <v>10</v>
      </c>
    </row>
    <row r="420" spans="1:10" x14ac:dyDescent="0.5">
      <c r="A420" t="s">
        <v>415</v>
      </c>
      <c r="B420">
        <v>31</v>
      </c>
      <c r="C420" t="s">
        <v>11</v>
      </c>
      <c r="D420">
        <v>4.5</v>
      </c>
      <c r="E420">
        <v>8</v>
      </c>
      <c r="F420">
        <v>5</v>
      </c>
      <c r="G420">
        <v>0</v>
      </c>
      <c r="H420">
        <v>4</v>
      </c>
      <c r="I420" t="s">
        <v>23</v>
      </c>
      <c r="J420">
        <v>10</v>
      </c>
    </row>
    <row r="421" spans="1:10" x14ac:dyDescent="0.5">
      <c r="A421" t="s">
        <v>416</v>
      </c>
      <c r="B421">
        <v>20</v>
      </c>
      <c r="C421" t="s">
        <v>11</v>
      </c>
      <c r="D421">
        <v>5.6</v>
      </c>
      <c r="E421">
        <v>8</v>
      </c>
      <c r="F421">
        <v>8</v>
      </c>
      <c r="G421">
        <v>3</v>
      </c>
      <c r="H421">
        <v>5</v>
      </c>
      <c r="I421" t="s">
        <v>23</v>
      </c>
      <c r="J421">
        <v>8</v>
      </c>
    </row>
    <row r="422" spans="1:10" x14ac:dyDescent="0.5">
      <c r="A422" t="s">
        <v>498</v>
      </c>
      <c r="B422">
        <v>27</v>
      </c>
      <c r="C422" t="s">
        <v>496</v>
      </c>
      <c r="D422">
        <v>6.3</v>
      </c>
      <c r="E422">
        <v>4</v>
      </c>
      <c r="F422">
        <v>9</v>
      </c>
      <c r="G422">
        <v>5</v>
      </c>
      <c r="H422">
        <v>5</v>
      </c>
      <c r="I422" t="s">
        <v>17</v>
      </c>
      <c r="J422">
        <v>6</v>
      </c>
    </row>
    <row r="423" spans="1:10" x14ac:dyDescent="0.5">
      <c r="A423" t="s">
        <v>417</v>
      </c>
      <c r="B423">
        <v>40</v>
      </c>
      <c r="C423" t="s">
        <v>16</v>
      </c>
      <c r="D423">
        <v>5.8</v>
      </c>
      <c r="E423">
        <v>7</v>
      </c>
      <c r="F423">
        <v>8</v>
      </c>
      <c r="G423">
        <v>4</v>
      </c>
      <c r="H423">
        <v>4</v>
      </c>
      <c r="I423" t="s">
        <v>17</v>
      </c>
      <c r="J423">
        <v>8</v>
      </c>
    </row>
    <row r="424" spans="1:10" x14ac:dyDescent="0.5">
      <c r="A424" t="s">
        <v>418</v>
      </c>
      <c r="B424">
        <v>36</v>
      </c>
      <c r="C424" t="s">
        <v>11</v>
      </c>
      <c r="D424">
        <v>7.7</v>
      </c>
      <c r="E424">
        <v>5</v>
      </c>
      <c r="F424">
        <v>8</v>
      </c>
      <c r="G424">
        <v>4</v>
      </c>
      <c r="H424">
        <v>0</v>
      </c>
      <c r="I424" t="s">
        <v>13</v>
      </c>
      <c r="J424">
        <v>8</v>
      </c>
    </row>
    <row r="425" spans="1:10" x14ac:dyDescent="0.5">
      <c r="A425" t="s">
        <v>419</v>
      </c>
      <c r="B425">
        <v>38</v>
      </c>
      <c r="C425" t="s">
        <v>16</v>
      </c>
      <c r="D425">
        <v>6.2</v>
      </c>
      <c r="E425">
        <v>7</v>
      </c>
      <c r="F425">
        <v>6</v>
      </c>
      <c r="G425">
        <v>6</v>
      </c>
      <c r="H425">
        <v>5</v>
      </c>
      <c r="I425" t="s">
        <v>13</v>
      </c>
      <c r="J425">
        <v>10</v>
      </c>
    </row>
    <row r="426" spans="1:10" x14ac:dyDescent="0.5">
      <c r="A426" t="s">
        <v>420</v>
      </c>
      <c r="B426">
        <v>31</v>
      </c>
      <c r="C426" t="s">
        <v>16</v>
      </c>
      <c r="D426">
        <v>5</v>
      </c>
      <c r="E426">
        <v>7</v>
      </c>
      <c r="F426">
        <v>6</v>
      </c>
      <c r="G426">
        <v>3</v>
      </c>
      <c r="H426">
        <v>4</v>
      </c>
      <c r="I426" t="s">
        <v>17</v>
      </c>
      <c r="J426">
        <v>10</v>
      </c>
    </row>
    <row r="427" spans="1:10" x14ac:dyDescent="0.5">
      <c r="A427" t="s">
        <v>421</v>
      </c>
      <c r="B427">
        <v>29</v>
      </c>
      <c r="C427" t="s">
        <v>16</v>
      </c>
      <c r="D427">
        <v>6.2</v>
      </c>
      <c r="E427">
        <v>6</v>
      </c>
      <c r="F427">
        <v>9</v>
      </c>
      <c r="G427">
        <v>2</v>
      </c>
      <c r="H427">
        <v>1</v>
      </c>
      <c r="I427" t="s">
        <v>14</v>
      </c>
      <c r="J427">
        <v>8</v>
      </c>
    </row>
    <row r="428" spans="1:10" x14ac:dyDescent="0.5">
      <c r="A428" t="s">
        <v>422</v>
      </c>
      <c r="B428">
        <v>46</v>
      </c>
      <c r="C428" t="s">
        <v>16</v>
      </c>
      <c r="D428">
        <v>6.4</v>
      </c>
      <c r="E428">
        <v>6</v>
      </c>
      <c r="F428">
        <v>8</v>
      </c>
      <c r="G428">
        <v>5</v>
      </c>
      <c r="H428">
        <v>4</v>
      </c>
      <c r="I428" t="s">
        <v>19</v>
      </c>
      <c r="J428">
        <v>8</v>
      </c>
    </row>
    <row r="429" spans="1:10" x14ac:dyDescent="0.5">
      <c r="A429" t="s">
        <v>423</v>
      </c>
      <c r="B429">
        <v>20</v>
      </c>
      <c r="C429" t="s">
        <v>11</v>
      </c>
      <c r="D429">
        <v>3.2</v>
      </c>
      <c r="E429">
        <v>7</v>
      </c>
      <c r="F429">
        <v>5</v>
      </c>
      <c r="G429">
        <v>5</v>
      </c>
      <c r="H429">
        <v>1</v>
      </c>
      <c r="I429" t="s">
        <v>19</v>
      </c>
      <c r="J429">
        <v>9</v>
      </c>
    </row>
    <row r="430" spans="1:10" x14ac:dyDescent="0.5">
      <c r="A430" t="s">
        <v>424</v>
      </c>
      <c r="B430">
        <v>38</v>
      </c>
      <c r="C430" t="s">
        <v>11</v>
      </c>
      <c r="D430">
        <v>7.6</v>
      </c>
      <c r="E430">
        <v>6</v>
      </c>
      <c r="F430">
        <v>9</v>
      </c>
      <c r="G430">
        <v>4</v>
      </c>
      <c r="H430">
        <v>3</v>
      </c>
      <c r="I430" t="s">
        <v>19</v>
      </c>
      <c r="J430">
        <v>8</v>
      </c>
    </row>
    <row r="431" spans="1:10" x14ac:dyDescent="0.5">
      <c r="A431" t="s">
        <v>425</v>
      </c>
      <c r="B431">
        <v>44</v>
      </c>
      <c r="C431" t="s">
        <v>11</v>
      </c>
      <c r="D431">
        <v>5</v>
      </c>
      <c r="E431">
        <v>6</v>
      </c>
      <c r="F431">
        <v>5</v>
      </c>
      <c r="G431">
        <v>3</v>
      </c>
      <c r="H431">
        <v>1</v>
      </c>
      <c r="I431" t="s">
        <v>19</v>
      </c>
      <c r="J431">
        <v>10</v>
      </c>
    </row>
    <row r="432" spans="1:10" x14ac:dyDescent="0.5">
      <c r="A432" t="s">
        <v>426</v>
      </c>
      <c r="B432">
        <v>26</v>
      </c>
      <c r="C432" t="s">
        <v>16</v>
      </c>
      <c r="D432">
        <v>5</v>
      </c>
      <c r="E432">
        <v>6</v>
      </c>
      <c r="F432">
        <v>6</v>
      </c>
      <c r="G432">
        <v>3</v>
      </c>
      <c r="H432">
        <v>1</v>
      </c>
      <c r="I432" t="s">
        <v>17</v>
      </c>
      <c r="J432">
        <v>10</v>
      </c>
    </row>
    <row r="433" spans="1:10" x14ac:dyDescent="0.5">
      <c r="A433" t="s">
        <v>427</v>
      </c>
      <c r="B433">
        <v>33</v>
      </c>
      <c r="C433" t="s">
        <v>16</v>
      </c>
      <c r="D433">
        <v>6.9</v>
      </c>
      <c r="E433">
        <v>6</v>
      </c>
      <c r="F433">
        <v>7</v>
      </c>
      <c r="G433">
        <v>0</v>
      </c>
      <c r="H433">
        <v>4</v>
      </c>
      <c r="I433" t="s">
        <v>23</v>
      </c>
      <c r="J433">
        <v>7</v>
      </c>
    </row>
    <row r="434" spans="1:10" x14ac:dyDescent="0.5">
      <c r="A434" t="s">
        <v>428</v>
      </c>
      <c r="B434">
        <v>27</v>
      </c>
      <c r="C434" t="s">
        <v>11</v>
      </c>
      <c r="D434">
        <v>6.8</v>
      </c>
      <c r="E434">
        <v>5</v>
      </c>
      <c r="F434">
        <v>8</v>
      </c>
      <c r="G434">
        <v>5</v>
      </c>
      <c r="H434">
        <v>4</v>
      </c>
      <c r="I434" t="s">
        <v>17</v>
      </c>
      <c r="J434">
        <v>7</v>
      </c>
    </row>
    <row r="435" spans="1:10" x14ac:dyDescent="0.5">
      <c r="A435" t="s">
        <v>429</v>
      </c>
      <c r="B435">
        <v>24</v>
      </c>
      <c r="C435" t="s">
        <v>11</v>
      </c>
      <c r="D435">
        <v>4.2</v>
      </c>
      <c r="E435">
        <v>8</v>
      </c>
      <c r="F435">
        <v>7</v>
      </c>
      <c r="G435">
        <v>5</v>
      </c>
      <c r="H435">
        <v>3</v>
      </c>
      <c r="I435" t="s">
        <v>19</v>
      </c>
      <c r="J435">
        <v>7</v>
      </c>
    </row>
    <row r="436" spans="1:10" x14ac:dyDescent="0.5">
      <c r="A436" t="s">
        <v>430</v>
      </c>
      <c r="B436">
        <v>25</v>
      </c>
      <c r="C436" t="s">
        <v>16</v>
      </c>
      <c r="D436">
        <v>6.9</v>
      </c>
      <c r="E436">
        <v>7</v>
      </c>
      <c r="F436">
        <v>7</v>
      </c>
      <c r="G436">
        <v>0</v>
      </c>
      <c r="H436">
        <v>2</v>
      </c>
      <c r="I436" t="s">
        <v>17</v>
      </c>
      <c r="J436">
        <v>9</v>
      </c>
    </row>
    <row r="437" spans="1:10" x14ac:dyDescent="0.5">
      <c r="A437" t="s">
        <v>497</v>
      </c>
      <c r="B437">
        <v>32</v>
      </c>
      <c r="C437" t="s">
        <v>496</v>
      </c>
      <c r="D437">
        <v>4.5</v>
      </c>
      <c r="E437">
        <v>8</v>
      </c>
      <c r="F437">
        <v>5</v>
      </c>
      <c r="G437">
        <v>5</v>
      </c>
      <c r="H437">
        <v>0</v>
      </c>
      <c r="I437" t="s">
        <v>19</v>
      </c>
      <c r="J437">
        <v>10</v>
      </c>
    </row>
    <row r="438" spans="1:10" x14ac:dyDescent="0.5">
      <c r="A438" t="s">
        <v>431</v>
      </c>
      <c r="B438">
        <v>22</v>
      </c>
      <c r="C438" t="s">
        <v>16</v>
      </c>
      <c r="D438">
        <v>8.8000000000000007</v>
      </c>
      <c r="E438">
        <v>2</v>
      </c>
      <c r="F438">
        <v>9</v>
      </c>
      <c r="G438">
        <v>4</v>
      </c>
      <c r="H438">
        <v>2</v>
      </c>
      <c r="I438" t="s">
        <v>12</v>
      </c>
      <c r="J438">
        <v>7</v>
      </c>
    </row>
    <row r="439" spans="1:10" x14ac:dyDescent="0.5">
      <c r="A439" t="s">
        <v>432</v>
      </c>
      <c r="B439">
        <v>28</v>
      </c>
      <c r="C439" t="s">
        <v>11</v>
      </c>
      <c r="D439">
        <v>4</v>
      </c>
      <c r="E439">
        <v>7</v>
      </c>
      <c r="F439">
        <v>5</v>
      </c>
      <c r="G439">
        <v>1</v>
      </c>
      <c r="H439">
        <v>3</v>
      </c>
      <c r="I439" t="s">
        <v>13</v>
      </c>
      <c r="J439">
        <v>9</v>
      </c>
    </row>
    <row r="440" spans="1:10" x14ac:dyDescent="0.5">
      <c r="A440" t="s">
        <v>433</v>
      </c>
      <c r="B440">
        <v>24</v>
      </c>
      <c r="C440" t="s">
        <v>11</v>
      </c>
      <c r="D440">
        <v>5.9</v>
      </c>
      <c r="E440">
        <v>7</v>
      </c>
      <c r="F440">
        <v>6</v>
      </c>
      <c r="G440">
        <v>1</v>
      </c>
      <c r="H440">
        <v>2</v>
      </c>
      <c r="I440" t="s">
        <v>23</v>
      </c>
      <c r="J440">
        <v>8</v>
      </c>
    </row>
    <row r="441" spans="1:10" x14ac:dyDescent="0.5">
      <c r="A441" t="s">
        <v>434</v>
      </c>
      <c r="B441">
        <v>42</v>
      </c>
      <c r="C441" t="s">
        <v>11</v>
      </c>
      <c r="D441">
        <v>4.0999999999999996</v>
      </c>
      <c r="E441">
        <v>6</v>
      </c>
      <c r="F441">
        <v>6</v>
      </c>
      <c r="G441">
        <v>4</v>
      </c>
      <c r="H441">
        <v>2</v>
      </c>
      <c r="I441" t="s">
        <v>12</v>
      </c>
      <c r="J441">
        <v>9</v>
      </c>
    </row>
    <row r="442" spans="1:10" x14ac:dyDescent="0.5">
      <c r="A442" t="s">
        <v>435</v>
      </c>
      <c r="B442">
        <v>17</v>
      </c>
      <c r="C442" t="s">
        <v>16</v>
      </c>
      <c r="D442">
        <v>9.5</v>
      </c>
      <c r="E442">
        <v>4</v>
      </c>
      <c r="F442">
        <v>9</v>
      </c>
      <c r="G442">
        <v>2</v>
      </c>
      <c r="H442">
        <v>2</v>
      </c>
      <c r="I442" t="s">
        <v>14</v>
      </c>
      <c r="J442">
        <v>4</v>
      </c>
    </row>
    <row r="443" spans="1:10" x14ac:dyDescent="0.5">
      <c r="A443" t="s">
        <v>436</v>
      </c>
      <c r="B443">
        <v>20</v>
      </c>
      <c r="C443" t="s">
        <v>11</v>
      </c>
      <c r="D443">
        <v>3.3</v>
      </c>
      <c r="E443">
        <v>8</v>
      </c>
      <c r="F443">
        <v>4</v>
      </c>
      <c r="G443">
        <v>7</v>
      </c>
      <c r="H443">
        <v>2</v>
      </c>
      <c r="I443" t="s">
        <v>17</v>
      </c>
      <c r="J443">
        <v>10</v>
      </c>
    </row>
    <row r="444" spans="1:10" x14ac:dyDescent="0.5">
      <c r="A444" t="s">
        <v>437</v>
      </c>
      <c r="B444">
        <v>44</v>
      </c>
      <c r="C444" t="s">
        <v>16</v>
      </c>
      <c r="D444">
        <v>6.4</v>
      </c>
      <c r="E444">
        <v>5</v>
      </c>
      <c r="F444">
        <v>6</v>
      </c>
      <c r="G444">
        <v>5</v>
      </c>
      <c r="H444">
        <v>3</v>
      </c>
      <c r="I444" t="s">
        <v>14</v>
      </c>
      <c r="J444">
        <v>6</v>
      </c>
    </row>
    <row r="445" spans="1:10" x14ac:dyDescent="0.5">
      <c r="A445" t="s">
        <v>438</v>
      </c>
      <c r="B445">
        <v>34</v>
      </c>
      <c r="C445" t="s">
        <v>11</v>
      </c>
      <c r="D445">
        <v>4.2</v>
      </c>
      <c r="E445">
        <v>8</v>
      </c>
      <c r="F445">
        <v>4</v>
      </c>
      <c r="G445">
        <v>4</v>
      </c>
      <c r="H445">
        <v>2</v>
      </c>
      <c r="I445" t="s">
        <v>17</v>
      </c>
      <c r="J445">
        <v>10</v>
      </c>
    </row>
    <row r="446" spans="1:10" x14ac:dyDescent="0.5">
      <c r="A446" t="s">
        <v>439</v>
      </c>
      <c r="B446">
        <v>23</v>
      </c>
      <c r="C446" t="s">
        <v>16</v>
      </c>
      <c r="D446">
        <v>4.9000000000000004</v>
      </c>
      <c r="E446">
        <v>7</v>
      </c>
      <c r="F446">
        <v>7</v>
      </c>
      <c r="G446">
        <v>4</v>
      </c>
      <c r="H446">
        <v>5</v>
      </c>
      <c r="I446" t="s">
        <v>13</v>
      </c>
      <c r="J446">
        <v>7</v>
      </c>
    </row>
    <row r="447" spans="1:10" x14ac:dyDescent="0.5">
      <c r="A447" t="s">
        <v>440</v>
      </c>
      <c r="B447">
        <v>16</v>
      </c>
      <c r="C447" t="s">
        <v>16</v>
      </c>
      <c r="D447">
        <v>6.3</v>
      </c>
      <c r="E447">
        <v>6</v>
      </c>
      <c r="F447">
        <v>7</v>
      </c>
      <c r="G447">
        <v>6</v>
      </c>
      <c r="H447">
        <v>0</v>
      </c>
      <c r="I447" t="s">
        <v>12</v>
      </c>
      <c r="J447">
        <v>8</v>
      </c>
    </row>
    <row r="448" spans="1:10" x14ac:dyDescent="0.5">
      <c r="A448" t="s">
        <v>441</v>
      </c>
      <c r="B448">
        <v>37</v>
      </c>
      <c r="C448" t="s">
        <v>16</v>
      </c>
      <c r="D448">
        <v>7.7</v>
      </c>
      <c r="E448">
        <v>4</v>
      </c>
      <c r="F448">
        <v>8</v>
      </c>
      <c r="G448">
        <v>5</v>
      </c>
      <c r="H448">
        <v>2</v>
      </c>
      <c r="I448" t="s">
        <v>13</v>
      </c>
      <c r="J448">
        <v>8</v>
      </c>
    </row>
    <row r="449" spans="1:10" x14ac:dyDescent="0.5">
      <c r="A449" t="s">
        <v>442</v>
      </c>
      <c r="B449">
        <v>32</v>
      </c>
      <c r="C449" t="s">
        <v>11</v>
      </c>
      <c r="D449">
        <v>8.4</v>
      </c>
      <c r="E449">
        <v>5</v>
      </c>
      <c r="F449">
        <v>9</v>
      </c>
      <c r="G449">
        <v>4</v>
      </c>
      <c r="H449">
        <v>1</v>
      </c>
      <c r="I449" t="s">
        <v>19</v>
      </c>
      <c r="J449">
        <v>7</v>
      </c>
    </row>
    <row r="450" spans="1:10" x14ac:dyDescent="0.5">
      <c r="A450" t="s">
        <v>443</v>
      </c>
      <c r="B450">
        <v>22</v>
      </c>
      <c r="C450" t="s">
        <v>11</v>
      </c>
      <c r="D450">
        <v>2.7</v>
      </c>
      <c r="E450">
        <v>6</v>
      </c>
      <c r="F450">
        <v>6</v>
      </c>
      <c r="G450">
        <v>1</v>
      </c>
      <c r="H450">
        <v>3</v>
      </c>
      <c r="I450" t="s">
        <v>13</v>
      </c>
      <c r="J450">
        <v>8</v>
      </c>
    </row>
    <row r="451" spans="1:10" x14ac:dyDescent="0.5">
      <c r="A451" t="s">
        <v>444</v>
      </c>
      <c r="B451">
        <v>40</v>
      </c>
      <c r="C451" t="s">
        <v>11</v>
      </c>
      <c r="D451">
        <v>6</v>
      </c>
      <c r="E451">
        <v>4</v>
      </c>
      <c r="F451">
        <v>6</v>
      </c>
      <c r="G451">
        <v>9</v>
      </c>
      <c r="H451">
        <v>3</v>
      </c>
      <c r="I451" t="s">
        <v>13</v>
      </c>
      <c r="J451">
        <v>8</v>
      </c>
    </row>
    <row r="452" spans="1:10" x14ac:dyDescent="0.5">
      <c r="A452" t="s">
        <v>445</v>
      </c>
      <c r="B452">
        <v>19</v>
      </c>
      <c r="C452" t="s">
        <v>16</v>
      </c>
      <c r="D452">
        <v>8.1</v>
      </c>
      <c r="E452">
        <v>5</v>
      </c>
      <c r="F452">
        <v>9</v>
      </c>
      <c r="G452">
        <v>1</v>
      </c>
      <c r="H452">
        <v>5</v>
      </c>
      <c r="I452" t="s">
        <v>19</v>
      </c>
      <c r="J452">
        <v>7</v>
      </c>
    </row>
    <row r="453" spans="1:10" x14ac:dyDescent="0.5">
      <c r="A453" t="s">
        <v>446</v>
      </c>
      <c r="B453">
        <v>21</v>
      </c>
      <c r="C453" t="s">
        <v>16</v>
      </c>
      <c r="D453">
        <v>2.5</v>
      </c>
      <c r="E453">
        <v>9</v>
      </c>
      <c r="F453">
        <v>3</v>
      </c>
      <c r="G453">
        <v>2</v>
      </c>
      <c r="H453">
        <v>5</v>
      </c>
      <c r="I453" t="s">
        <v>17</v>
      </c>
      <c r="J453">
        <v>10</v>
      </c>
    </row>
    <row r="454" spans="1:10" x14ac:dyDescent="0.5">
      <c r="A454" t="s">
        <v>447</v>
      </c>
      <c r="B454">
        <v>46</v>
      </c>
      <c r="C454" t="s">
        <v>16</v>
      </c>
      <c r="D454">
        <v>6.1</v>
      </c>
      <c r="E454">
        <v>6</v>
      </c>
      <c r="F454">
        <v>8</v>
      </c>
      <c r="G454">
        <v>0</v>
      </c>
      <c r="H454">
        <v>1</v>
      </c>
      <c r="I454" t="s">
        <v>19</v>
      </c>
      <c r="J454">
        <v>6</v>
      </c>
    </row>
    <row r="455" spans="1:10" x14ac:dyDescent="0.5">
      <c r="A455" t="s">
        <v>448</v>
      </c>
      <c r="B455">
        <v>34</v>
      </c>
      <c r="C455" t="s">
        <v>16</v>
      </c>
      <c r="D455">
        <v>5.5</v>
      </c>
      <c r="E455">
        <v>6</v>
      </c>
      <c r="F455">
        <v>5</v>
      </c>
      <c r="G455">
        <v>4</v>
      </c>
      <c r="H455">
        <v>3</v>
      </c>
      <c r="I455" t="s">
        <v>12</v>
      </c>
      <c r="J455">
        <v>10</v>
      </c>
    </row>
    <row r="456" spans="1:10" x14ac:dyDescent="0.5">
      <c r="A456" t="s">
        <v>449</v>
      </c>
      <c r="B456">
        <v>42</v>
      </c>
      <c r="C456" t="s">
        <v>16</v>
      </c>
      <c r="D456">
        <v>6.2</v>
      </c>
      <c r="E456">
        <v>6</v>
      </c>
      <c r="F456">
        <v>6</v>
      </c>
      <c r="G456">
        <v>3</v>
      </c>
      <c r="H456">
        <v>3</v>
      </c>
      <c r="I456" t="s">
        <v>13</v>
      </c>
      <c r="J456">
        <v>6</v>
      </c>
    </row>
    <row r="457" spans="1:10" x14ac:dyDescent="0.5">
      <c r="A457" t="s">
        <v>450</v>
      </c>
      <c r="B457">
        <v>25</v>
      </c>
      <c r="C457" t="s">
        <v>11</v>
      </c>
      <c r="D457">
        <v>4.0999999999999996</v>
      </c>
      <c r="E457">
        <v>6</v>
      </c>
      <c r="F457">
        <v>5</v>
      </c>
      <c r="G457">
        <v>5</v>
      </c>
      <c r="H457">
        <v>1</v>
      </c>
      <c r="I457" t="s">
        <v>19</v>
      </c>
      <c r="J457">
        <v>9</v>
      </c>
    </row>
    <row r="458" spans="1:10" x14ac:dyDescent="0.5">
      <c r="A458" t="s">
        <v>451</v>
      </c>
      <c r="B458">
        <v>41</v>
      </c>
      <c r="C458" t="s">
        <v>16</v>
      </c>
      <c r="D458">
        <v>2.9</v>
      </c>
      <c r="E458">
        <v>8</v>
      </c>
      <c r="F458">
        <v>3</v>
      </c>
      <c r="G458">
        <v>0</v>
      </c>
      <c r="H458">
        <v>3</v>
      </c>
      <c r="I458" t="s">
        <v>13</v>
      </c>
      <c r="J458">
        <v>10</v>
      </c>
    </row>
    <row r="459" spans="1:10" x14ac:dyDescent="0.5">
      <c r="A459" t="s">
        <v>452</v>
      </c>
      <c r="B459">
        <v>34</v>
      </c>
      <c r="C459" t="s">
        <v>11</v>
      </c>
      <c r="D459">
        <v>2.1</v>
      </c>
      <c r="E459">
        <v>9</v>
      </c>
      <c r="F459">
        <v>4</v>
      </c>
      <c r="G459">
        <v>5</v>
      </c>
      <c r="H459">
        <v>2</v>
      </c>
      <c r="I459" t="s">
        <v>12</v>
      </c>
      <c r="J459">
        <v>10</v>
      </c>
    </row>
    <row r="460" spans="1:10" x14ac:dyDescent="0.5">
      <c r="A460" t="s">
        <v>453</v>
      </c>
      <c r="B460">
        <v>18</v>
      </c>
      <c r="C460" t="s">
        <v>11</v>
      </c>
      <c r="D460">
        <v>7.3</v>
      </c>
      <c r="E460">
        <v>5</v>
      </c>
      <c r="F460">
        <v>8</v>
      </c>
      <c r="G460">
        <v>1</v>
      </c>
      <c r="H460">
        <v>1</v>
      </c>
      <c r="I460" t="s">
        <v>14</v>
      </c>
      <c r="J460">
        <v>7</v>
      </c>
    </row>
    <row r="461" spans="1:10" x14ac:dyDescent="0.5">
      <c r="A461" t="s">
        <v>454</v>
      </c>
      <c r="B461">
        <v>28</v>
      </c>
      <c r="C461" t="s">
        <v>16</v>
      </c>
      <c r="D461">
        <v>7.5</v>
      </c>
      <c r="E461">
        <v>6</v>
      </c>
      <c r="F461">
        <v>8</v>
      </c>
      <c r="G461">
        <v>3</v>
      </c>
      <c r="H461">
        <v>2</v>
      </c>
      <c r="I461" t="s">
        <v>12</v>
      </c>
      <c r="J461">
        <v>6</v>
      </c>
    </row>
    <row r="462" spans="1:10" x14ac:dyDescent="0.5">
      <c r="A462" t="s">
        <v>455</v>
      </c>
      <c r="B462">
        <v>43</v>
      </c>
      <c r="C462" t="s">
        <v>11</v>
      </c>
      <c r="D462">
        <v>6</v>
      </c>
      <c r="E462">
        <v>6</v>
      </c>
      <c r="F462">
        <v>5</v>
      </c>
      <c r="G462">
        <v>5</v>
      </c>
      <c r="H462">
        <v>1</v>
      </c>
      <c r="I462" t="s">
        <v>23</v>
      </c>
      <c r="J462">
        <v>9</v>
      </c>
    </row>
    <row r="463" spans="1:10" x14ac:dyDescent="0.5">
      <c r="A463" t="s">
        <v>456</v>
      </c>
      <c r="B463">
        <v>35</v>
      </c>
      <c r="C463" t="s">
        <v>11</v>
      </c>
      <c r="D463">
        <v>4.5</v>
      </c>
      <c r="E463">
        <v>7</v>
      </c>
      <c r="F463">
        <v>8</v>
      </c>
      <c r="G463">
        <v>4</v>
      </c>
      <c r="H463">
        <v>4</v>
      </c>
      <c r="I463" t="s">
        <v>23</v>
      </c>
      <c r="J463">
        <v>8</v>
      </c>
    </row>
    <row r="464" spans="1:10" x14ac:dyDescent="0.5">
      <c r="A464" t="s">
        <v>457</v>
      </c>
      <c r="B464">
        <v>43</v>
      </c>
      <c r="C464" t="s">
        <v>16</v>
      </c>
      <c r="D464">
        <v>2.6</v>
      </c>
      <c r="E464">
        <v>9</v>
      </c>
      <c r="F464">
        <v>5</v>
      </c>
      <c r="G464">
        <v>4</v>
      </c>
      <c r="H464">
        <v>5</v>
      </c>
      <c r="I464" t="s">
        <v>23</v>
      </c>
      <c r="J464">
        <v>10</v>
      </c>
    </row>
    <row r="465" spans="1:10" x14ac:dyDescent="0.5">
      <c r="A465" t="s">
        <v>458</v>
      </c>
      <c r="B465">
        <v>23</v>
      </c>
      <c r="C465" t="s">
        <v>11</v>
      </c>
      <c r="D465">
        <v>6.5</v>
      </c>
      <c r="E465">
        <v>5</v>
      </c>
      <c r="F465">
        <v>10</v>
      </c>
      <c r="G465">
        <v>5</v>
      </c>
      <c r="H465">
        <v>3</v>
      </c>
      <c r="I465" t="s">
        <v>13</v>
      </c>
      <c r="J465">
        <v>5</v>
      </c>
    </row>
    <row r="466" spans="1:10" x14ac:dyDescent="0.5">
      <c r="A466" t="s">
        <v>459</v>
      </c>
      <c r="B466">
        <v>16</v>
      </c>
      <c r="C466" t="s">
        <v>16</v>
      </c>
      <c r="D466">
        <v>3.5</v>
      </c>
      <c r="E466">
        <v>8</v>
      </c>
      <c r="F466">
        <v>5</v>
      </c>
      <c r="G466">
        <v>4</v>
      </c>
      <c r="H466">
        <v>3</v>
      </c>
      <c r="I466" t="s">
        <v>17</v>
      </c>
      <c r="J466">
        <v>10</v>
      </c>
    </row>
    <row r="467" spans="1:10" x14ac:dyDescent="0.5">
      <c r="A467" t="s">
        <v>460</v>
      </c>
      <c r="B467">
        <v>18</v>
      </c>
      <c r="C467" t="s">
        <v>11</v>
      </c>
      <c r="D467">
        <v>4.2</v>
      </c>
      <c r="E467">
        <v>7</v>
      </c>
      <c r="F467">
        <v>7</v>
      </c>
      <c r="G467">
        <v>2</v>
      </c>
      <c r="H467">
        <v>3</v>
      </c>
      <c r="I467" t="s">
        <v>17</v>
      </c>
      <c r="J467">
        <v>10</v>
      </c>
    </row>
    <row r="468" spans="1:10" x14ac:dyDescent="0.5">
      <c r="A468" t="s">
        <v>461</v>
      </c>
      <c r="B468">
        <v>28</v>
      </c>
      <c r="C468" t="s">
        <v>11</v>
      </c>
      <c r="D468">
        <v>4.4000000000000004</v>
      </c>
      <c r="E468">
        <v>7</v>
      </c>
      <c r="F468">
        <v>7</v>
      </c>
      <c r="G468">
        <v>3</v>
      </c>
      <c r="H468">
        <v>4</v>
      </c>
      <c r="I468" t="s">
        <v>17</v>
      </c>
      <c r="J468">
        <v>8</v>
      </c>
    </row>
    <row r="469" spans="1:10" x14ac:dyDescent="0.5">
      <c r="A469" t="s">
        <v>462</v>
      </c>
      <c r="B469">
        <v>43</v>
      </c>
      <c r="C469" t="s">
        <v>11</v>
      </c>
      <c r="D469">
        <v>5.0999999999999996</v>
      </c>
      <c r="E469">
        <v>6</v>
      </c>
      <c r="F469">
        <v>6</v>
      </c>
      <c r="G469">
        <v>3</v>
      </c>
      <c r="H469">
        <v>4</v>
      </c>
      <c r="I469" t="s">
        <v>13</v>
      </c>
      <c r="J469">
        <v>9</v>
      </c>
    </row>
    <row r="470" spans="1:10" x14ac:dyDescent="0.5">
      <c r="A470" t="s">
        <v>463</v>
      </c>
      <c r="B470">
        <v>40</v>
      </c>
      <c r="C470" t="s">
        <v>11</v>
      </c>
      <c r="D470">
        <v>4.0999999999999996</v>
      </c>
      <c r="E470">
        <v>6</v>
      </c>
      <c r="F470">
        <v>7</v>
      </c>
      <c r="G470">
        <v>1</v>
      </c>
      <c r="H470">
        <v>2</v>
      </c>
      <c r="I470" t="s">
        <v>12</v>
      </c>
      <c r="J470">
        <v>10</v>
      </c>
    </row>
    <row r="471" spans="1:10" x14ac:dyDescent="0.5">
      <c r="A471" t="s">
        <v>464</v>
      </c>
      <c r="B471">
        <v>48</v>
      </c>
      <c r="C471" t="s">
        <v>16</v>
      </c>
      <c r="D471">
        <v>5.6</v>
      </c>
      <c r="E471">
        <v>6</v>
      </c>
      <c r="F471">
        <v>6</v>
      </c>
      <c r="G471">
        <v>5</v>
      </c>
      <c r="H471">
        <v>3</v>
      </c>
      <c r="I471" t="s">
        <v>17</v>
      </c>
      <c r="J471">
        <v>8</v>
      </c>
    </row>
    <row r="472" spans="1:10" x14ac:dyDescent="0.5">
      <c r="A472" t="s">
        <v>465</v>
      </c>
      <c r="B472">
        <v>21</v>
      </c>
      <c r="C472" t="s">
        <v>11</v>
      </c>
      <c r="D472">
        <v>4.4000000000000004</v>
      </c>
      <c r="E472">
        <v>5</v>
      </c>
      <c r="F472">
        <v>6</v>
      </c>
      <c r="G472">
        <v>4</v>
      </c>
      <c r="H472">
        <v>3</v>
      </c>
      <c r="I472" t="s">
        <v>14</v>
      </c>
      <c r="J472">
        <v>7</v>
      </c>
    </row>
    <row r="473" spans="1:10" x14ac:dyDescent="0.5">
      <c r="A473" t="s">
        <v>466</v>
      </c>
      <c r="B473">
        <v>47</v>
      </c>
      <c r="C473" t="s">
        <v>16</v>
      </c>
      <c r="D473">
        <v>6.8</v>
      </c>
      <c r="E473">
        <v>5</v>
      </c>
      <c r="F473">
        <v>4</v>
      </c>
      <c r="G473">
        <v>3</v>
      </c>
      <c r="H473">
        <v>1</v>
      </c>
      <c r="I473" t="s">
        <v>23</v>
      </c>
      <c r="J473">
        <v>10</v>
      </c>
    </row>
    <row r="474" spans="1:10" x14ac:dyDescent="0.5">
      <c r="A474" t="s">
        <v>467</v>
      </c>
      <c r="B474">
        <v>36</v>
      </c>
      <c r="C474" t="s">
        <v>16</v>
      </c>
      <c r="D474">
        <v>7.4</v>
      </c>
      <c r="E474">
        <v>3</v>
      </c>
      <c r="F474">
        <v>8</v>
      </c>
      <c r="G474">
        <v>5</v>
      </c>
      <c r="H474">
        <v>4</v>
      </c>
      <c r="I474" t="s">
        <v>12</v>
      </c>
      <c r="J474">
        <v>5</v>
      </c>
    </row>
    <row r="475" spans="1:10" x14ac:dyDescent="0.5">
      <c r="A475" t="s">
        <v>468</v>
      </c>
      <c r="B475">
        <v>31</v>
      </c>
      <c r="C475" t="s">
        <v>16</v>
      </c>
      <c r="D475">
        <v>5.7</v>
      </c>
      <c r="E475">
        <v>7</v>
      </c>
      <c r="F475">
        <v>5</v>
      </c>
      <c r="G475">
        <v>3</v>
      </c>
      <c r="H475">
        <v>5</v>
      </c>
      <c r="I475" t="s">
        <v>23</v>
      </c>
      <c r="J475">
        <v>10</v>
      </c>
    </row>
    <row r="476" spans="1:10" x14ac:dyDescent="0.5">
      <c r="A476" t="s">
        <v>469</v>
      </c>
      <c r="B476">
        <v>36</v>
      </c>
      <c r="C476" t="s">
        <v>16</v>
      </c>
      <c r="D476">
        <v>6.3</v>
      </c>
      <c r="E476">
        <v>7</v>
      </c>
      <c r="F476">
        <v>7</v>
      </c>
      <c r="G476">
        <v>3</v>
      </c>
      <c r="H476">
        <v>4</v>
      </c>
      <c r="I476" t="s">
        <v>17</v>
      </c>
      <c r="J476">
        <v>8</v>
      </c>
    </row>
    <row r="477" spans="1:10" x14ac:dyDescent="0.5">
      <c r="A477" t="s">
        <v>470</v>
      </c>
      <c r="B477">
        <v>26</v>
      </c>
      <c r="C477" t="s">
        <v>16</v>
      </c>
      <c r="D477">
        <v>9.3000000000000007</v>
      </c>
      <c r="E477">
        <v>3</v>
      </c>
      <c r="F477">
        <v>8</v>
      </c>
      <c r="G477">
        <v>2</v>
      </c>
      <c r="H477">
        <v>1</v>
      </c>
      <c r="I477" t="s">
        <v>12</v>
      </c>
      <c r="J477">
        <v>6</v>
      </c>
    </row>
    <row r="478" spans="1:10" x14ac:dyDescent="0.5">
      <c r="A478" t="s">
        <v>471</v>
      </c>
      <c r="B478">
        <v>34</v>
      </c>
      <c r="C478" t="s">
        <v>11</v>
      </c>
      <c r="D478">
        <v>3.4</v>
      </c>
      <c r="E478">
        <v>8</v>
      </c>
      <c r="F478">
        <v>5</v>
      </c>
      <c r="G478">
        <v>4</v>
      </c>
      <c r="H478">
        <v>0</v>
      </c>
      <c r="I478" t="s">
        <v>19</v>
      </c>
      <c r="J478">
        <v>10</v>
      </c>
    </row>
    <row r="479" spans="1:10" x14ac:dyDescent="0.5">
      <c r="A479" t="s">
        <v>472</v>
      </c>
      <c r="B479">
        <v>35</v>
      </c>
      <c r="C479" t="s">
        <v>11</v>
      </c>
      <c r="D479">
        <v>3.3</v>
      </c>
      <c r="E479">
        <v>9</v>
      </c>
      <c r="F479">
        <v>6</v>
      </c>
      <c r="G479">
        <v>4</v>
      </c>
      <c r="H479">
        <v>4</v>
      </c>
      <c r="I479" t="s">
        <v>14</v>
      </c>
      <c r="J479">
        <v>10</v>
      </c>
    </row>
    <row r="480" spans="1:10" x14ac:dyDescent="0.5">
      <c r="A480" t="s">
        <v>473</v>
      </c>
      <c r="B480">
        <v>33</v>
      </c>
      <c r="C480" t="s">
        <v>11</v>
      </c>
      <c r="D480">
        <v>6.8</v>
      </c>
      <c r="E480">
        <v>6</v>
      </c>
      <c r="F480">
        <v>8</v>
      </c>
      <c r="G480">
        <v>2</v>
      </c>
      <c r="H480">
        <v>1</v>
      </c>
      <c r="I480" t="s">
        <v>17</v>
      </c>
      <c r="J480">
        <v>9</v>
      </c>
    </row>
    <row r="481" spans="1:10" x14ac:dyDescent="0.5">
      <c r="A481" t="s">
        <v>474</v>
      </c>
      <c r="B481">
        <v>29</v>
      </c>
      <c r="C481" t="s">
        <v>16</v>
      </c>
      <c r="D481">
        <v>9</v>
      </c>
      <c r="E481">
        <v>4</v>
      </c>
      <c r="F481">
        <v>10</v>
      </c>
      <c r="G481">
        <v>3</v>
      </c>
      <c r="H481">
        <v>3</v>
      </c>
      <c r="I481" t="s">
        <v>17</v>
      </c>
      <c r="J481">
        <v>4</v>
      </c>
    </row>
    <row r="482" spans="1:10" x14ac:dyDescent="0.5">
      <c r="A482" t="s">
        <v>475</v>
      </c>
      <c r="B482">
        <v>30</v>
      </c>
      <c r="C482" t="s">
        <v>11</v>
      </c>
      <c r="D482">
        <v>5</v>
      </c>
      <c r="E482">
        <v>7</v>
      </c>
      <c r="F482">
        <v>8</v>
      </c>
      <c r="G482">
        <v>2</v>
      </c>
      <c r="H482">
        <v>5</v>
      </c>
      <c r="I482" t="s">
        <v>14</v>
      </c>
      <c r="J482">
        <v>7</v>
      </c>
    </row>
    <row r="483" spans="1:10" x14ac:dyDescent="0.5">
      <c r="A483" t="s">
        <v>476</v>
      </c>
      <c r="B483">
        <v>46</v>
      </c>
      <c r="C483" t="s">
        <v>16</v>
      </c>
      <c r="D483">
        <v>8.6</v>
      </c>
      <c r="E483">
        <v>4</v>
      </c>
      <c r="F483">
        <v>8</v>
      </c>
      <c r="G483">
        <v>2</v>
      </c>
      <c r="H483">
        <v>2</v>
      </c>
      <c r="I483" t="s">
        <v>14</v>
      </c>
      <c r="J483">
        <v>4</v>
      </c>
    </row>
    <row r="484" spans="1:10" x14ac:dyDescent="0.5">
      <c r="A484" t="s">
        <v>477</v>
      </c>
      <c r="B484">
        <v>16</v>
      </c>
      <c r="C484" t="s">
        <v>16</v>
      </c>
      <c r="D484">
        <v>5.7</v>
      </c>
      <c r="E484">
        <v>6</v>
      </c>
      <c r="F484">
        <v>6</v>
      </c>
      <c r="G484">
        <v>0</v>
      </c>
      <c r="H484">
        <v>2</v>
      </c>
      <c r="I484" t="s">
        <v>19</v>
      </c>
      <c r="J484">
        <v>8</v>
      </c>
    </row>
    <row r="485" spans="1:10" x14ac:dyDescent="0.5">
      <c r="A485" t="s">
        <v>478</v>
      </c>
      <c r="B485">
        <v>18</v>
      </c>
      <c r="C485" t="s">
        <v>11</v>
      </c>
      <c r="D485">
        <v>4.3</v>
      </c>
      <c r="E485">
        <v>7</v>
      </c>
      <c r="F485">
        <v>7</v>
      </c>
      <c r="G485">
        <v>3</v>
      </c>
      <c r="H485">
        <v>3</v>
      </c>
      <c r="I485" t="s">
        <v>17</v>
      </c>
      <c r="J485">
        <v>10</v>
      </c>
    </row>
    <row r="486" spans="1:10" x14ac:dyDescent="0.5">
      <c r="A486" t="s">
        <v>479</v>
      </c>
      <c r="B486">
        <v>31</v>
      </c>
      <c r="C486" t="s">
        <v>16</v>
      </c>
      <c r="D486">
        <v>3.7</v>
      </c>
      <c r="E486">
        <v>7</v>
      </c>
      <c r="F486">
        <v>7</v>
      </c>
      <c r="G486">
        <v>0</v>
      </c>
      <c r="H486">
        <v>1</v>
      </c>
      <c r="I486" t="s">
        <v>13</v>
      </c>
      <c r="J486">
        <v>9</v>
      </c>
    </row>
    <row r="487" spans="1:10" x14ac:dyDescent="0.5">
      <c r="A487" t="s">
        <v>480</v>
      </c>
      <c r="B487">
        <v>38</v>
      </c>
      <c r="C487" t="s">
        <v>11</v>
      </c>
      <c r="D487">
        <v>6.6</v>
      </c>
      <c r="E487">
        <v>6</v>
      </c>
      <c r="F487">
        <v>8</v>
      </c>
      <c r="G487">
        <v>2</v>
      </c>
      <c r="H487">
        <v>1</v>
      </c>
      <c r="I487" t="s">
        <v>17</v>
      </c>
      <c r="J487">
        <v>7</v>
      </c>
    </row>
    <row r="488" spans="1:10" x14ac:dyDescent="0.5">
      <c r="A488" t="s">
        <v>481</v>
      </c>
      <c r="B488">
        <v>26</v>
      </c>
      <c r="C488" t="s">
        <v>11</v>
      </c>
      <c r="D488">
        <v>3.9</v>
      </c>
      <c r="E488">
        <v>8</v>
      </c>
      <c r="F488">
        <v>5</v>
      </c>
      <c r="G488">
        <v>2</v>
      </c>
      <c r="H488">
        <v>3</v>
      </c>
      <c r="I488" t="s">
        <v>23</v>
      </c>
      <c r="J488">
        <v>10</v>
      </c>
    </row>
    <row r="489" spans="1:10" x14ac:dyDescent="0.5">
      <c r="A489" t="s">
        <v>482</v>
      </c>
      <c r="B489">
        <v>27</v>
      </c>
      <c r="C489" t="s">
        <v>16</v>
      </c>
      <c r="D489">
        <v>5.6</v>
      </c>
      <c r="E489">
        <v>7</v>
      </c>
      <c r="F489">
        <v>7</v>
      </c>
      <c r="G489">
        <v>5</v>
      </c>
      <c r="H489">
        <v>2</v>
      </c>
      <c r="I489" t="s">
        <v>12</v>
      </c>
      <c r="J489">
        <v>8</v>
      </c>
    </row>
    <row r="490" spans="1:10" x14ac:dyDescent="0.5">
      <c r="A490" t="s">
        <v>483</v>
      </c>
      <c r="B490">
        <v>25</v>
      </c>
      <c r="C490" t="s">
        <v>16</v>
      </c>
      <c r="D490">
        <v>8.4</v>
      </c>
      <c r="E490">
        <v>5</v>
      </c>
      <c r="F490">
        <v>9</v>
      </c>
      <c r="G490">
        <v>1</v>
      </c>
      <c r="H490">
        <v>3</v>
      </c>
      <c r="I490" t="s">
        <v>12</v>
      </c>
      <c r="J490">
        <v>7</v>
      </c>
    </row>
    <row r="491" spans="1:10" x14ac:dyDescent="0.5">
      <c r="A491" t="s">
        <v>484</v>
      </c>
      <c r="B491">
        <v>47</v>
      </c>
      <c r="C491" t="s">
        <v>16</v>
      </c>
      <c r="D491">
        <v>4.9000000000000004</v>
      </c>
      <c r="E491">
        <v>7</v>
      </c>
      <c r="F491">
        <v>7</v>
      </c>
      <c r="G491">
        <v>1</v>
      </c>
      <c r="H491">
        <v>7</v>
      </c>
      <c r="I491" t="s">
        <v>23</v>
      </c>
      <c r="J491">
        <v>10</v>
      </c>
    </row>
    <row r="492" spans="1:10" x14ac:dyDescent="0.5">
      <c r="A492" t="s">
        <v>485</v>
      </c>
      <c r="B492">
        <v>31</v>
      </c>
      <c r="C492" t="s">
        <v>11</v>
      </c>
      <c r="D492">
        <v>7.9</v>
      </c>
      <c r="E492">
        <v>5</v>
      </c>
      <c r="F492">
        <v>8</v>
      </c>
      <c r="G492">
        <v>2</v>
      </c>
      <c r="H492">
        <v>3</v>
      </c>
      <c r="I492" t="s">
        <v>12</v>
      </c>
      <c r="J492">
        <v>6</v>
      </c>
    </row>
    <row r="493" spans="1:10" x14ac:dyDescent="0.5">
      <c r="A493" t="s">
        <v>486</v>
      </c>
      <c r="B493">
        <v>23</v>
      </c>
      <c r="C493" t="s">
        <v>11</v>
      </c>
      <c r="D493">
        <v>3.3</v>
      </c>
      <c r="E493">
        <v>10</v>
      </c>
      <c r="F493">
        <v>4</v>
      </c>
      <c r="G493">
        <v>2</v>
      </c>
      <c r="H493">
        <v>1</v>
      </c>
      <c r="I493" t="s">
        <v>14</v>
      </c>
      <c r="J493">
        <v>10</v>
      </c>
    </row>
    <row r="494" spans="1:10" x14ac:dyDescent="0.5">
      <c r="A494" t="s">
        <v>487</v>
      </c>
      <c r="B494">
        <v>27</v>
      </c>
      <c r="C494" t="s">
        <v>16</v>
      </c>
      <c r="D494">
        <v>4.5</v>
      </c>
      <c r="E494">
        <v>5</v>
      </c>
      <c r="F494">
        <v>7</v>
      </c>
      <c r="G494">
        <v>6</v>
      </c>
      <c r="H494">
        <v>5</v>
      </c>
      <c r="I494" t="s">
        <v>12</v>
      </c>
      <c r="J494">
        <v>9</v>
      </c>
    </row>
    <row r="495" spans="1:10" x14ac:dyDescent="0.5">
      <c r="A495" t="s">
        <v>488</v>
      </c>
      <c r="B495">
        <v>39</v>
      </c>
      <c r="C495" t="s">
        <v>16</v>
      </c>
      <c r="D495">
        <v>3</v>
      </c>
      <c r="E495">
        <v>7</v>
      </c>
      <c r="F495">
        <v>2</v>
      </c>
      <c r="G495">
        <v>1</v>
      </c>
      <c r="H495">
        <v>0</v>
      </c>
      <c r="I495" t="s">
        <v>12</v>
      </c>
      <c r="J495">
        <v>10</v>
      </c>
    </row>
    <row r="496" spans="1:10" x14ac:dyDescent="0.5">
      <c r="A496" t="s">
        <v>489</v>
      </c>
      <c r="B496">
        <v>43</v>
      </c>
      <c r="C496" t="s">
        <v>16</v>
      </c>
      <c r="D496">
        <v>5.6</v>
      </c>
      <c r="E496">
        <v>8</v>
      </c>
      <c r="F496">
        <v>6</v>
      </c>
      <c r="G496">
        <v>2</v>
      </c>
      <c r="H496">
        <v>0</v>
      </c>
      <c r="I496" t="s">
        <v>23</v>
      </c>
      <c r="J496">
        <v>10</v>
      </c>
    </row>
    <row r="497" spans="1:10" x14ac:dyDescent="0.5">
      <c r="A497" t="s">
        <v>490</v>
      </c>
      <c r="B497">
        <v>23</v>
      </c>
      <c r="C497" t="s">
        <v>11</v>
      </c>
      <c r="D497">
        <v>6.9</v>
      </c>
      <c r="E497">
        <v>5</v>
      </c>
      <c r="F497">
        <v>7</v>
      </c>
      <c r="G497">
        <v>4</v>
      </c>
      <c r="H497">
        <v>2</v>
      </c>
      <c r="I497" t="s">
        <v>19</v>
      </c>
      <c r="J497">
        <v>10</v>
      </c>
    </row>
    <row r="498" spans="1:10" x14ac:dyDescent="0.5">
      <c r="A498" t="s">
        <v>491</v>
      </c>
      <c r="B498">
        <v>43</v>
      </c>
      <c r="C498" t="s">
        <v>16</v>
      </c>
      <c r="D498">
        <v>5.6</v>
      </c>
      <c r="E498">
        <v>7</v>
      </c>
      <c r="F498">
        <v>6</v>
      </c>
      <c r="G498">
        <v>5</v>
      </c>
      <c r="H498">
        <v>2</v>
      </c>
      <c r="I498" t="s">
        <v>12</v>
      </c>
      <c r="J498">
        <v>9</v>
      </c>
    </row>
    <row r="499" spans="1:10" x14ac:dyDescent="0.5">
      <c r="A499" t="s">
        <v>492</v>
      </c>
      <c r="B499">
        <v>41</v>
      </c>
      <c r="C499" t="s">
        <v>11</v>
      </c>
      <c r="D499">
        <v>7.7</v>
      </c>
      <c r="E499">
        <v>5</v>
      </c>
      <c r="F499">
        <v>7</v>
      </c>
      <c r="G499">
        <v>2</v>
      </c>
      <c r="H499">
        <v>2</v>
      </c>
      <c r="I499" t="s">
        <v>13</v>
      </c>
      <c r="J499">
        <v>8</v>
      </c>
    </row>
    <row r="500" spans="1:10" x14ac:dyDescent="0.5">
      <c r="A500" t="s">
        <v>493</v>
      </c>
      <c r="B500">
        <v>23</v>
      </c>
      <c r="C500" t="s">
        <v>11</v>
      </c>
      <c r="D500">
        <v>4.2</v>
      </c>
      <c r="E500">
        <v>9</v>
      </c>
      <c r="F500">
        <v>7</v>
      </c>
      <c r="G500">
        <v>0</v>
      </c>
      <c r="H500">
        <v>2</v>
      </c>
      <c r="I500" t="s">
        <v>12</v>
      </c>
      <c r="J500">
        <v>9</v>
      </c>
    </row>
    <row r="501" spans="1:10" x14ac:dyDescent="0.5">
      <c r="A501" t="s">
        <v>494</v>
      </c>
      <c r="B501">
        <v>43</v>
      </c>
      <c r="C501" t="s">
        <v>16</v>
      </c>
      <c r="D501">
        <v>5.9</v>
      </c>
      <c r="E501">
        <v>5</v>
      </c>
      <c r="F501">
        <v>8</v>
      </c>
      <c r="G501">
        <v>3</v>
      </c>
      <c r="H501">
        <v>3</v>
      </c>
      <c r="I501" t="s">
        <v>19</v>
      </c>
      <c r="J501">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EDE04-7A22-4414-B7C1-87AD730BAFF5}">
  <dimension ref="A1:M478"/>
  <sheetViews>
    <sheetView zoomScale="70" zoomScaleNormal="70" workbookViewId="0">
      <selection activeCell="F31" sqref="F31"/>
    </sheetView>
  </sheetViews>
  <sheetFormatPr defaultColWidth="7.6875" defaultRowHeight="15.75" x14ac:dyDescent="0.5"/>
  <cols>
    <col min="1" max="1" width="10.9375" customWidth="1"/>
    <col min="2" max="2" width="7.5625" style="2" customWidth="1"/>
    <col min="3" max="3" width="18" style="2" bestFit="1" customWidth="1"/>
    <col min="4" max="4" width="9.8125" customWidth="1"/>
    <col min="5" max="6" width="24.125" style="1" customWidth="1"/>
    <col min="7" max="7" width="20.5625" style="2" customWidth="1"/>
    <col min="8" max="8" width="18.3125" style="2" customWidth="1"/>
    <col min="9" max="9" width="28.25" style="2" customWidth="1"/>
    <col min="10" max="10" width="25.375" style="2" customWidth="1"/>
    <col min="11" max="11" width="27" style="2" bestFit="1" customWidth="1"/>
    <col min="12" max="12" width="22.875" customWidth="1"/>
    <col min="13" max="13" width="23.125" style="2" customWidth="1"/>
  </cols>
  <sheetData>
    <row r="1" spans="1:13" x14ac:dyDescent="0.5">
      <c r="A1" t="s">
        <v>0</v>
      </c>
      <c r="B1" s="2" t="s">
        <v>1</v>
      </c>
      <c r="C1" s="6" t="s">
        <v>521</v>
      </c>
      <c r="D1" t="s">
        <v>2</v>
      </c>
      <c r="E1" s="1" t="s">
        <v>3</v>
      </c>
      <c r="F1" s="7" t="s">
        <v>522</v>
      </c>
      <c r="G1" s="2" t="s">
        <v>4</v>
      </c>
      <c r="H1" s="2" t="s">
        <v>5</v>
      </c>
      <c r="I1" s="2" t="s">
        <v>6</v>
      </c>
      <c r="J1" s="2" t="s">
        <v>7</v>
      </c>
      <c r="K1" s="6" t="s">
        <v>548</v>
      </c>
      <c r="L1" t="s">
        <v>8</v>
      </c>
      <c r="M1" s="2" t="s">
        <v>9</v>
      </c>
    </row>
    <row r="2" spans="1:13" x14ac:dyDescent="0.5">
      <c r="A2" t="s">
        <v>265</v>
      </c>
      <c r="B2" s="2">
        <v>17</v>
      </c>
      <c r="C2" s="2" t="str" cm="1">
        <f t="array" ref="C2">_xlfn.IFS(B2&lt;25, "Youth (16–24)", B2&lt;35, "Young Adults (25–34)", B2&lt;45, "Adults (35–44)", B2&lt;55, "Middle-aged (45–54)")</f>
        <v>Youth (16–24)</v>
      </c>
      <c r="D2" t="s">
        <v>11</v>
      </c>
      <c r="E2" s="1">
        <v>9.1</v>
      </c>
      <c r="F2" s="1" t="str" cm="1">
        <f t="array" ref="F2">_xlfn.IFS(E2&lt;3, "Low (0–3 hrs)", E2&lt;6, "Moderate (3–6 hrs)", E2&lt;8, "High (6–8 hrs)", E2&gt;=8, "Very High (8+ hrs)")</f>
        <v>Very High (8+ hrs)</v>
      </c>
      <c r="G2" s="2">
        <v>4</v>
      </c>
      <c r="H2" s="2">
        <v>9</v>
      </c>
      <c r="I2" s="2">
        <v>7</v>
      </c>
      <c r="J2" s="2">
        <v>4</v>
      </c>
      <c r="K2" s="2" t="str" cm="1">
        <f t="array" ref="K2">_xlfn.IFS(Table1[[#This Row],[Exercise_Frequency(week)]]&lt;3, "Beginners (0–2 days)", Table1[[#This Row],[Exercise_Frequency(week)]]&lt;5, "Intermediate (3–4 days)", Table1[[#This Row],[Exercise_Frequency(week)]]&lt;8, "Advanced (5–7 days)")</f>
        <v>Intermediate (3–4 days)</v>
      </c>
      <c r="L2" t="s">
        <v>17</v>
      </c>
      <c r="M2" s="2">
        <v>4</v>
      </c>
    </row>
    <row r="3" spans="1:13" x14ac:dyDescent="0.5">
      <c r="A3" t="s">
        <v>250</v>
      </c>
      <c r="B3" s="2">
        <v>46</v>
      </c>
      <c r="C3" s="2" t="str" cm="1">
        <f t="array" ref="C3">_xlfn.IFS(B3&lt;25, "Youth (16–24)", B3&lt;35, "Young Adults (25–34)", B3&lt;45, "Adults (35–44)", B3&lt;55, "Middle-aged (45–54)")</f>
        <v>Middle-aged (45–54)</v>
      </c>
      <c r="D3" t="s">
        <v>16</v>
      </c>
      <c r="E3" s="1">
        <v>10.8</v>
      </c>
      <c r="F3" s="1" t="str" cm="1">
        <f t="array" ref="F3">_xlfn.IFS(E3&lt;3, "Low (0–3 hrs)", E3&lt;6, "Moderate (3–6 hrs)", E3&lt;8, "High (6–8 hrs)", E3&gt;=8, "Very High (8+ hrs)")</f>
        <v>Very High (8+ hrs)</v>
      </c>
      <c r="G3" s="2">
        <v>5</v>
      </c>
      <c r="H3" s="2">
        <v>10</v>
      </c>
      <c r="I3" s="2">
        <v>2</v>
      </c>
      <c r="J3" s="2">
        <v>3</v>
      </c>
      <c r="K3" s="2" t="str" cm="1">
        <f t="array" ref="K3">_xlfn.IFS(Table1[[#This Row],[Exercise_Frequency(week)]]&lt;3, "Beginners (0–2 days)", Table1[[#This Row],[Exercise_Frequency(week)]]&lt;5, "Intermediate (3–4 days)", Table1[[#This Row],[Exercise_Frequency(week)]]&lt;8, "Advanced (5–7 days)")</f>
        <v>Intermediate (3–4 days)</v>
      </c>
      <c r="L3" t="s">
        <v>23</v>
      </c>
      <c r="M3" s="2">
        <v>4</v>
      </c>
    </row>
    <row r="4" spans="1:13" x14ac:dyDescent="0.5">
      <c r="A4" t="s">
        <v>474</v>
      </c>
      <c r="B4" s="2">
        <v>29</v>
      </c>
      <c r="C4" s="2" t="str" cm="1">
        <f t="array" ref="C4">_xlfn.IFS(B4&lt;25, "Youth (16–24)", B4&lt;35, "Young Adults (25–34)", B4&lt;45, "Adults (35–44)", B4&lt;55, "Middle-aged (45–54)")</f>
        <v>Young Adults (25–34)</v>
      </c>
      <c r="D4" t="s">
        <v>16</v>
      </c>
      <c r="E4" s="1">
        <v>9</v>
      </c>
      <c r="F4" s="1" t="str" cm="1">
        <f t="array" ref="F4">_xlfn.IFS(E4&lt;3, "Low (0–3 hrs)", E4&lt;6, "Moderate (3–6 hrs)", E4&lt;8, "High (6–8 hrs)", E4&gt;=8, "Very High (8+ hrs)")</f>
        <v>Very High (8+ hrs)</v>
      </c>
      <c r="G4" s="2">
        <v>4</v>
      </c>
      <c r="H4" s="2">
        <v>10</v>
      </c>
      <c r="I4" s="2">
        <v>3</v>
      </c>
      <c r="J4" s="2">
        <v>3</v>
      </c>
      <c r="K4" s="2" t="str" cm="1">
        <f t="array" ref="K4">_xlfn.IFS(Table1[[#This Row],[Exercise_Frequency(week)]]&lt;3, "Beginners (0–2 days)", Table1[[#This Row],[Exercise_Frequency(week)]]&lt;5, "Intermediate (3–4 days)", Table1[[#This Row],[Exercise_Frequency(week)]]&lt;8, "Advanced (5–7 days)")</f>
        <v>Intermediate (3–4 days)</v>
      </c>
      <c r="L4" t="s">
        <v>17</v>
      </c>
      <c r="M4" s="2">
        <v>4</v>
      </c>
    </row>
    <row r="5" spans="1:13" x14ac:dyDescent="0.5">
      <c r="A5" t="s">
        <v>65</v>
      </c>
      <c r="B5" s="2">
        <v>38</v>
      </c>
      <c r="C5" s="2" t="str" cm="1">
        <f t="array" ref="C5">_xlfn.IFS(B5&lt;25, "Youth (16–24)", B5&lt;35, "Young Adults (25–34)", B5&lt;45, "Adults (35–44)", B5&lt;55, "Middle-aged (45–54)")</f>
        <v>Adults (35–44)</v>
      </c>
      <c r="D5" t="s">
        <v>16</v>
      </c>
      <c r="E5" s="1">
        <v>9.6999999999999993</v>
      </c>
      <c r="F5" s="1" t="str" cm="1">
        <f t="array" ref="F5">_xlfn.IFS(E5&lt;3, "Low (0–3 hrs)", E5&lt;6, "Moderate (3–6 hrs)", E5&lt;8, "High (6–8 hrs)", E5&gt;=8, "Very High (8+ hrs)")</f>
        <v>Very High (8+ hrs)</v>
      </c>
      <c r="G5" s="2">
        <v>3</v>
      </c>
      <c r="H5" s="2">
        <v>9</v>
      </c>
      <c r="I5" s="2">
        <v>3</v>
      </c>
      <c r="J5" s="2">
        <v>2</v>
      </c>
      <c r="K5" s="2" t="str" cm="1">
        <f t="array" ref="K5">_xlfn.IFS(Table1[[#This Row],[Exercise_Frequency(week)]]&lt;3, "Beginners (0–2 days)", Table1[[#This Row],[Exercise_Frequency(week)]]&lt;5, "Intermediate (3–4 days)", Table1[[#This Row],[Exercise_Frequency(week)]]&lt;8, "Advanced (5–7 days)")</f>
        <v>Beginners (0–2 days)</v>
      </c>
      <c r="L5" t="s">
        <v>12</v>
      </c>
      <c r="M5" s="2">
        <v>4</v>
      </c>
    </row>
    <row r="6" spans="1:13" x14ac:dyDescent="0.5">
      <c r="A6" t="s">
        <v>206</v>
      </c>
      <c r="B6" s="2">
        <v>48</v>
      </c>
      <c r="C6" s="2" t="str" cm="1">
        <f t="array" ref="C6">_xlfn.IFS(B6&lt;25, "Youth (16–24)", B6&lt;35, "Young Adults (25–34)", B6&lt;45, "Adults (35–44)", B6&lt;55, "Middle-aged (45–54)")</f>
        <v>Middle-aged (45–54)</v>
      </c>
      <c r="D6" t="s">
        <v>16</v>
      </c>
      <c r="E6" s="1">
        <v>10</v>
      </c>
      <c r="F6" s="1" t="str" cm="1">
        <f t="array" ref="F6">_xlfn.IFS(E6&lt;3, "Low (0–3 hrs)", E6&lt;6, "Moderate (3–6 hrs)", E6&lt;8, "High (6–8 hrs)", E6&gt;=8, "Very High (8+ hrs)")</f>
        <v>Very High (8+ hrs)</v>
      </c>
      <c r="G6" s="2">
        <v>3</v>
      </c>
      <c r="H6" s="2">
        <v>10</v>
      </c>
      <c r="I6" s="2">
        <v>3</v>
      </c>
      <c r="J6" s="2">
        <v>2</v>
      </c>
      <c r="K6" s="2" t="str" cm="1">
        <f t="array" ref="K6">_xlfn.IFS(Table1[[#This Row],[Exercise_Frequency(week)]]&lt;3, "Beginners (0–2 days)", Table1[[#This Row],[Exercise_Frequency(week)]]&lt;5, "Intermediate (3–4 days)", Table1[[#This Row],[Exercise_Frequency(week)]]&lt;8, "Advanced (5–7 days)")</f>
        <v>Beginners (0–2 days)</v>
      </c>
      <c r="L6" t="s">
        <v>17</v>
      </c>
      <c r="M6" s="2">
        <v>4</v>
      </c>
    </row>
    <row r="7" spans="1:13" x14ac:dyDescent="0.5">
      <c r="A7" t="s">
        <v>435</v>
      </c>
      <c r="B7" s="2">
        <v>17</v>
      </c>
      <c r="C7" s="2" t="str" cm="1">
        <f t="array" ref="C7">_xlfn.IFS(B7&lt;25, "Youth (16–24)", B7&lt;35, "Young Adults (25–34)", B7&lt;45, "Adults (35–44)", B7&lt;55, "Middle-aged (45–54)")</f>
        <v>Youth (16–24)</v>
      </c>
      <c r="D7" t="s">
        <v>16</v>
      </c>
      <c r="E7" s="1">
        <v>9.5</v>
      </c>
      <c r="F7" s="1" t="str" cm="1">
        <f t="array" ref="F7">_xlfn.IFS(E7&lt;3, "Low (0–3 hrs)", E7&lt;6, "Moderate (3–6 hrs)", E7&lt;8, "High (6–8 hrs)", E7&gt;=8, "Very High (8+ hrs)")</f>
        <v>Very High (8+ hrs)</v>
      </c>
      <c r="G7" s="2">
        <v>4</v>
      </c>
      <c r="H7" s="2">
        <v>9</v>
      </c>
      <c r="I7" s="2">
        <v>2</v>
      </c>
      <c r="J7" s="2">
        <v>2</v>
      </c>
      <c r="K7" s="2" t="str" cm="1">
        <f t="array" ref="K7">_xlfn.IFS(Table1[[#This Row],[Exercise_Frequency(week)]]&lt;3, "Beginners (0–2 days)", Table1[[#This Row],[Exercise_Frequency(week)]]&lt;5, "Intermediate (3–4 days)", Table1[[#This Row],[Exercise_Frequency(week)]]&lt;8, "Advanced (5–7 days)")</f>
        <v>Beginners (0–2 days)</v>
      </c>
      <c r="L7" t="s">
        <v>14</v>
      </c>
      <c r="M7" s="2">
        <v>4</v>
      </c>
    </row>
    <row r="8" spans="1:13" x14ac:dyDescent="0.5">
      <c r="A8" t="s">
        <v>476</v>
      </c>
      <c r="B8" s="2">
        <v>46</v>
      </c>
      <c r="C8" s="2" t="str" cm="1">
        <f t="array" ref="C8">_xlfn.IFS(B8&lt;25, "Youth (16–24)", B8&lt;35, "Young Adults (25–34)", B8&lt;45, "Adults (35–44)", B8&lt;55, "Middle-aged (45–54)")</f>
        <v>Middle-aged (45–54)</v>
      </c>
      <c r="D8" t="s">
        <v>16</v>
      </c>
      <c r="E8" s="1">
        <v>8.6</v>
      </c>
      <c r="F8" s="1" t="str" cm="1">
        <f t="array" ref="F8">_xlfn.IFS(E8&lt;3, "Low (0–3 hrs)", E8&lt;6, "Moderate (3–6 hrs)", E8&lt;8, "High (6–8 hrs)", E8&gt;=8, "Very High (8+ hrs)")</f>
        <v>Very High (8+ hrs)</v>
      </c>
      <c r="G8" s="2">
        <v>4</v>
      </c>
      <c r="H8" s="2">
        <v>8</v>
      </c>
      <c r="I8" s="2">
        <v>2</v>
      </c>
      <c r="J8" s="2">
        <v>2</v>
      </c>
      <c r="K8" s="2" t="str" cm="1">
        <f t="array" ref="K8">_xlfn.IFS(Table1[[#This Row],[Exercise_Frequency(week)]]&lt;3, "Beginners (0–2 days)", Table1[[#This Row],[Exercise_Frequency(week)]]&lt;5, "Intermediate (3–4 days)", Table1[[#This Row],[Exercise_Frequency(week)]]&lt;8, "Advanced (5–7 days)")</f>
        <v>Beginners (0–2 days)</v>
      </c>
      <c r="L8" t="s">
        <v>14</v>
      </c>
      <c r="M8" s="2">
        <v>4</v>
      </c>
    </row>
    <row r="9" spans="1:13" x14ac:dyDescent="0.5">
      <c r="A9" t="s">
        <v>237</v>
      </c>
      <c r="B9" s="2">
        <v>48</v>
      </c>
      <c r="C9" s="2" t="str" cm="1">
        <f t="array" ref="C9">_xlfn.IFS(B9&lt;25, "Youth (16–24)", B9&lt;35, "Young Adults (25–34)", B9&lt;45, "Adults (35–44)", B9&lt;55, "Middle-aged (45–54)")</f>
        <v>Middle-aged (45–54)</v>
      </c>
      <c r="D9" t="s">
        <v>16</v>
      </c>
      <c r="E9" s="1">
        <v>7.5</v>
      </c>
      <c r="F9" s="1" t="str" cm="1">
        <f t="array" ref="F9">_xlfn.IFS(E9&lt;3, "Low (0–3 hrs)", E9&lt;6, "Moderate (3–6 hrs)", E9&lt;8, "High (6–8 hrs)", E9&gt;=8, "Very High (8+ hrs)")</f>
        <v>High (6–8 hrs)</v>
      </c>
      <c r="G9" s="2">
        <v>4</v>
      </c>
      <c r="H9" s="2">
        <v>9</v>
      </c>
      <c r="I9" s="2">
        <v>4</v>
      </c>
      <c r="J9" s="2">
        <v>5</v>
      </c>
      <c r="K9" s="2" t="str" cm="1">
        <f t="array" ref="K9">_xlfn.IFS(Table1[[#This Row],[Exercise_Frequency(week)]]&lt;3, "Beginners (0–2 days)", Table1[[#This Row],[Exercise_Frequency(week)]]&lt;5, "Intermediate (3–4 days)", Table1[[#This Row],[Exercise_Frequency(week)]]&lt;8, "Advanced (5–7 days)")</f>
        <v>Advanced (5–7 days)</v>
      </c>
      <c r="L9" t="s">
        <v>14</v>
      </c>
      <c r="M9" s="2">
        <v>5</v>
      </c>
    </row>
    <row r="10" spans="1:13" x14ac:dyDescent="0.5">
      <c r="A10" t="s">
        <v>166</v>
      </c>
      <c r="B10" s="2">
        <v>20</v>
      </c>
      <c r="C10" s="2" t="str" cm="1">
        <f t="array" ref="C10">_xlfn.IFS(B10&lt;25, "Youth (16–24)", B10&lt;35, "Young Adults (25–34)", B10&lt;45, "Adults (35–44)", B10&lt;55, "Middle-aged (45–54)")</f>
        <v>Youth (16–24)</v>
      </c>
      <c r="D10" t="s">
        <v>11</v>
      </c>
      <c r="E10" s="1">
        <v>7.9</v>
      </c>
      <c r="F10" s="1" t="str" cm="1">
        <f t="array" ref="F10">_xlfn.IFS(E10&lt;3, "Low (0–3 hrs)", E10&lt;6, "Moderate (3–6 hrs)", E10&lt;8, "High (6–8 hrs)", E10&gt;=8, "Very High (8+ hrs)")</f>
        <v>High (6–8 hrs)</v>
      </c>
      <c r="G10" s="2">
        <v>5</v>
      </c>
      <c r="H10" s="2">
        <v>9</v>
      </c>
      <c r="I10" s="2">
        <v>2</v>
      </c>
      <c r="J10" s="2">
        <v>4</v>
      </c>
      <c r="K10" s="2" t="str" cm="1">
        <f t="array" ref="K10">_xlfn.IFS(Table1[[#This Row],[Exercise_Frequency(week)]]&lt;3, "Beginners (0–2 days)", Table1[[#This Row],[Exercise_Frequency(week)]]&lt;5, "Intermediate (3–4 days)", Table1[[#This Row],[Exercise_Frequency(week)]]&lt;8, "Advanced (5–7 days)")</f>
        <v>Intermediate (3–4 days)</v>
      </c>
      <c r="L10" t="s">
        <v>23</v>
      </c>
      <c r="M10" s="2">
        <v>5</v>
      </c>
    </row>
    <row r="11" spans="1:13" x14ac:dyDescent="0.5">
      <c r="A11" t="s">
        <v>188</v>
      </c>
      <c r="B11" s="2">
        <v>40</v>
      </c>
      <c r="C11" s="2" t="str" cm="1">
        <f t="array" ref="C11">_xlfn.IFS(B11&lt;25, "Youth (16–24)", B11&lt;35, "Young Adults (25–34)", B11&lt;45, "Adults (35–44)", B11&lt;55, "Middle-aged (45–54)")</f>
        <v>Adults (35–44)</v>
      </c>
      <c r="D11" t="s">
        <v>11</v>
      </c>
      <c r="E11" s="1">
        <v>7.7</v>
      </c>
      <c r="F11" s="1" t="str" cm="1">
        <f t="array" ref="F11">_xlfn.IFS(E11&lt;3, "Low (0–3 hrs)", E11&lt;6, "Moderate (3–6 hrs)", E11&lt;8, "High (6–8 hrs)", E11&gt;=8, "Very High (8+ hrs)")</f>
        <v>High (6–8 hrs)</v>
      </c>
      <c r="G11" s="2">
        <v>3</v>
      </c>
      <c r="H11" s="2">
        <v>9</v>
      </c>
      <c r="I11" s="2">
        <v>0</v>
      </c>
      <c r="J11" s="2">
        <v>4</v>
      </c>
      <c r="K11" s="2" t="str" cm="1">
        <f t="array" ref="K11">_xlfn.IFS(Table1[[#This Row],[Exercise_Frequency(week)]]&lt;3, "Beginners (0–2 days)", Table1[[#This Row],[Exercise_Frequency(week)]]&lt;5, "Intermediate (3–4 days)", Table1[[#This Row],[Exercise_Frequency(week)]]&lt;8, "Advanced (5–7 days)")</f>
        <v>Intermediate (3–4 days)</v>
      </c>
      <c r="L11" t="s">
        <v>23</v>
      </c>
      <c r="M11" s="2">
        <v>5</v>
      </c>
    </row>
    <row r="12" spans="1:13" x14ac:dyDescent="0.5">
      <c r="A12" t="s">
        <v>226</v>
      </c>
      <c r="B12" s="2">
        <v>48</v>
      </c>
      <c r="C12" s="2" t="str" cm="1">
        <f t="array" ref="C12">_xlfn.IFS(B12&lt;25, "Youth (16–24)", B12&lt;35, "Young Adults (25–34)", B12&lt;45, "Adults (35–44)", B12&lt;55, "Middle-aged (45–54)")</f>
        <v>Middle-aged (45–54)</v>
      </c>
      <c r="D12" t="s">
        <v>11</v>
      </c>
      <c r="E12" s="1">
        <v>7.3</v>
      </c>
      <c r="F12" s="1" t="str" cm="1">
        <f t="array" ref="F12">_xlfn.IFS(E12&lt;3, "Low (0–3 hrs)", E12&lt;6, "Moderate (3–6 hrs)", E12&lt;8, "High (6–8 hrs)", E12&gt;=8, "Very High (8+ hrs)")</f>
        <v>High (6–8 hrs)</v>
      </c>
      <c r="G12" s="2">
        <v>5</v>
      </c>
      <c r="H12" s="2">
        <v>9</v>
      </c>
      <c r="I12" s="2">
        <v>4</v>
      </c>
      <c r="J12" s="2">
        <v>4</v>
      </c>
      <c r="K12" s="2" t="str" cm="1">
        <f t="array" ref="K12">_xlfn.IFS(Table1[[#This Row],[Exercise_Frequency(week)]]&lt;3, "Beginners (0–2 days)", Table1[[#This Row],[Exercise_Frequency(week)]]&lt;5, "Intermediate (3–4 days)", Table1[[#This Row],[Exercise_Frequency(week)]]&lt;8, "Advanced (5–7 days)")</f>
        <v>Intermediate (3–4 days)</v>
      </c>
      <c r="L12" t="s">
        <v>23</v>
      </c>
      <c r="M12" s="2">
        <v>5</v>
      </c>
    </row>
    <row r="13" spans="1:13" x14ac:dyDescent="0.5">
      <c r="A13" t="s">
        <v>467</v>
      </c>
      <c r="B13" s="2">
        <v>36</v>
      </c>
      <c r="C13" s="2" t="str" cm="1">
        <f t="array" ref="C13">_xlfn.IFS(B13&lt;25, "Youth (16–24)", B13&lt;35, "Young Adults (25–34)", B13&lt;45, "Adults (35–44)", B13&lt;55, "Middle-aged (45–54)")</f>
        <v>Adults (35–44)</v>
      </c>
      <c r="D13" t="s">
        <v>16</v>
      </c>
      <c r="E13" s="1">
        <v>7.4</v>
      </c>
      <c r="F13" s="1" t="str" cm="1">
        <f t="array" ref="F13">_xlfn.IFS(E13&lt;3, "Low (0–3 hrs)", E13&lt;6, "Moderate (3–6 hrs)", E13&lt;8, "High (6–8 hrs)", E13&gt;=8, "Very High (8+ hrs)")</f>
        <v>High (6–8 hrs)</v>
      </c>
      <c r="G13" s="2">
        <v>3</v>
      </c>
      <c r="H13" s="2">
        <v>8</v>
      </c>
      <c r="I13" s="2">
        <v>5</v>
      </c>
      <c r="J13" s="2">
        <v>4</v>
      </c>
      <c r="K13" s="2" t="str" cm="1">
        <f t="array" ref="K13">_xlfn.IFS(Table1[[#This Row],[Exercise_Frequency(week)]]&lt;3, "Beginners (0–2 days)", Table1[[#This Row],[Exercise_Frequency(week)]]&lt;5, "Intermediate (3–4 days)", Table1[[#This Row],[Exercise_Frequency(week)]]&lt;8, "Advanced (5–7 days)")</f>
        <v>Intermediate (3–4 days)</v>
      </c>
      <c r="L13" t="s">
        <v>12</v>
      </c>
      <c r="M13" s="2">
        <v>5</v>
      </c>
    </row>
    <row r="14" spans="1:13" x14ac:dyDescent="0.5">
      <c r="A14" t="s">
        <v>73</v>
      </c>
      <c r="B14" s="2">
        <v>30</v>
      </c>
      <c r="C14" s="2" t="str" cm="1">
        <f t="array" ref="C14">_xlfn.IFS(B14&lt;25, "Youth (16–24)", B14&lt;35, "Young Adults (25–34)", B14&lt;45, "Adults (35–44)", B14&lt;55, "Middle-aged (45–54)")</f>
        <v>Young Adults (25–34)</v>
      </c>
      <c r="D14" t="s">
        <v>11</v>
      </c>
      <c r="E14" s="1">
        <v>6.5</v>
      </c>
      <c r="F14" s="1" t="str" cm="1">
        <f t="array" ref="F14">_xlfn.IFS(E14&lt;3, "Low (0–3 hrs)", E14&lt;6, "Moderate (3–6 hrs)", E14&lt;8, "High (6–8 hrs)", E14&gt;=8, "Very High (8+ hrs)")</f>
        <v>High (6–8 hrs)</v>
      </c>
      <c r="G14" s="2">
        <v>4</v>
      </c>
      <c r="H14" s="2">
        <v>9</v>
      </c>
      <c r="I14" s="2">
        <v>4</v>
      </c>
      <c r="J14" s="2">
        <v>3</v>
      </c>
      <c r="K14" s="2" t="str" cm="1">
        <f t="array" ref="K14">_xlfn.IFS(Table1[[#This Row],[Exercise_Frequency(week)]]&lt;3, "Beginners (0–2 days)", Table1[[#This Row],[Exercise_Frequency(week)]]&lt;5, "Intermediate (3–4 days)", Table1[[#This Row],[Exercise_Frequency(week)]]&lt;8, "Advanced (5–7 days)")</f>
        <v>Intermediate (3–4 days)</v>
      </c>
      <c r="L14" t="s">
        <v>17</v>
      </c>
      <c r="M14" s="2">
        <v>5</v>
      </c>
    </row>
    <row r="15" spans="1:13" x14ac:dyDescent="0.5">
      <c r="A15" t="s">
        <v>79</v>
      </c>
      <c r="B15" s="2">
        <v>16</v>
      </c>
      <c r="C15" s="2" t="str" cm="1">
        <f t="array" ref="C15">_xlfn.IFS(B15&lt;25, "Youth (16–24)", B15&lt;35, "Young Adults (25–34)", B15&lt;45, "Adults (35–44)", B15&lt;55, "Middle-aged (45–54)")</f>
        <v>Youth (16–24)</v>
      </c>
      <c r="D15" t="s">
        <v>11</v>
      </c>
      <c r="E15" s="1">
        <v>6.9</v>
      </c>
      <c r="F15" s="1" t="str" cm="1">
        <f t="array" ref="F15">_xlfn.IFS(E15&lt;3, "Low (0–3 hrs)", E15&lt;6, "Moderate (3–6 hrs)", E15&lt;8, "High (6–8 hrs)", E15&gt;=8, "Very High (8+ hrs)")</f>
        <v>High (6–8 hrs)</v>
      </c>
      <c r="G15" s="2">
        <v>5</v>
      </c>
      <c r="H15" s="2">
        <v>8</v>
      </c>
      <c r="I15" s="2">
        <v>3</v>
      </c>
      <c r="J15" s="2">
        <v>3</v>
      </c>
      <c r="K15" s="2" t="str" cm="1">
        <f t="array" ref="K15">_xlfn.IFS(Table1[[#This Row],[Exercise_Frequency(week)]]&lt;3, "Beginners (0–2 days)", Table1[[#This Row],[Exercise_Frequency(week)]]&lt;5, "Intermediate (3–4 days)", Table1[[#This Row],[Exercise_Frequency(week)]]&lt;8, "Advanced (5–7 days)")</f>
        <v>Intermediate (3–4 days)</v>
      </c>
      <c r="L15" t="s">
        <v>14</v>
      </c>
      <c r="M15" s="2">
        <v>5</v>
      </c>
    </row>
    <row r="16" spans="1:13" x14ac:dyDescent="0.5">
      <c r="A16" t="s">
        <v>158</v>
      </c>
      <c r="B16" s="2">
        <v>41</v>
      </c>
      <c r="C16" s="2" t="str" cm="1">
        <f t="array" ref="C16">_xlfn.IFS(B16&lt;25, "Youth (16–24)", B16&lt;35, "Young Adults (25–34)", B16&lt;45, "Adults (35–44)", B16&lt;55, "Middle-aged (45–54)")</f>
        <v>Adults (35–44)</v>
      </c>
      <c r="D16" t="s">
        <v>16</v>
      </c>
      <c r="E16" s="1">
        <v>7.4</v>
      </c>
      <c r="F16" s="1" t="str" cm="1">
        <f t="array" ref="F16">_xlfn.IFS(E16&lt;3, "Low (0–3 hrs)", E16&lt;6, "Moderate (3–6 hrs)", E16&lt;8, "High (6–8 hrs)", E16&gt;=8, "Very High (8+ hrs)")</f>
        <v>High (6–8 hrs)</v>
      </c>
      <c r="G16" s="2">
        <v>4</v>
      </c>
      <c r="H16" s="2">
        <v>9</v>
      </c>
      <c r="I16" s="2">
        <v>6</v>
      </c>
      <c r="J16" s="2">
        <v>3</v>
      </c>
      <c r="K16" s="2" t="str" cm="1">
        <f t="array" ref="K16">_xlfn.IFS(Table1[[#This Row],[Exercise_Frequency(week)]]&lt;3, "Beginners (0–2 days)", Table1[[#This Row],[Exercise_Frequency(week)]]&lt;5, "Intermediate (3–4 days)", Table1[[#This Row],[Exercise_Frequency(week)]]&lt;8, "Advanced (5–7 days)")</f>
        <v>Intermediate (3–4 days)</v>
      </c>
      <c r="L16" t="s">
        <v>14</v>
      </c>
      <c r="M16" s="2">
        <v>5</v>
      </c>
    </row>
    <row r="17" spans="1:13" x14ac:dyDescent="0.5">
      <c r="A17" t="s">
        <v>243</v>
      </c>
      <c r="B17" s="2">
        <v>32</v>
      </c>
      <c r="C17" s="2" t="str" cm="1">
        <f t="array" ref="C17">_xlfn.IFS(B17&lt;25, "Youth (16–24)", B17&lt;35, "Young Adults (25–34)", B17&lt;45, "Adults (35–44)", B17&lt;55, "Middle-aged (45–54)")</f>
        <v>Young Adults (25–34)</v>
      </c>
      <c r="D17" t="s">
        <v>11</v>
      </c>
      <c r="E17" s="1">
        <v>9.4</v>
      </c>
      <c r="F17" s="1" t="str" cm="1">
        <f t="array" ref="F17">_xlfn.IFS(E17&lt;3, "Low (0–3 hrs)", E17&lt;6, "Moderate (3–6 hrs)", E17&lt;8, "High (6–8 hrs)", E17&gt;=8, "Very High (8+ hrs)")</f>
        <v>Very High (8+ hrs)</v>
      </c>
      <c r="G17" s="2">
        <v>3</v>
      </c>
      <c r="H17" s="2">
        <v>9</v>
      </c>
      <c r="I17" s="2">
        <v>2</v>
      </c>
      <c r="J17" s="2">
        <v>3</v>
      </c>
      <c r="K17" s="2" t="str" cm="1">
        <f t="array" ref="K17">_xlfn.IFS(Table1[[#This Row],[Exercise_Frequency(week)]]&lt;3, "Beginners (0–2 days)", Table1[[#This Row],[Exercise_Frequency(week)]]&lt;5, "Intermediate (3–4 days)", Table1[[#This Row],[Exercise_Frequency(week)]]&lt;8, "Advanced (5–7 days)")</f>
        <v>Intermediate (3–4 days)</v>
      </c>
      <c r="L17" t="s">
        <v>23</v>
      </c>
      <c r="M17" s="2">
        <v>5</v>
      </c>
    </row>
    <row r="18" spans="1:13" x14ac:dyDescent="0.5">
      <c r="A18" t="s">
        <v>257</v>
      </c>
      <c r="B18" s="2">
        <v>33</v>
      </c>
      <c r="C18" s="2" t="str" cm="1">
        <f t="array" ref="C18">_xlfn.IFS(B18&lt;25, "Youth (16–24)", B18&lt;35, "Young Adults (25–34)", B18&lt;45, "Adults (35–44)", B18&lt;55, "Middle-aged (45–54)")</f>
        <v>Young Adults (25–34)</v>
      </c>
      <c r="D18" t="s">
        <v>16</v>
      </c>
      <c r="E18" s="1">
        <v>5.9</v>
      </c>
      <c r="F18" s="1" t="str" cm="1">
        <f t="array" ref="F18">_xlfn.IFS(E18&lt;3, "Low (0–3 hrs)", E18&lt;6, "Moderate (3–6 hrs)", E18&lt;8, "High (6–8 hrs)", E18&gt;=8, "Very High (8+ hrs)")</f>
        <v>Moderate (3–6 hrs)</v>
      </c>
      <c r="G18" s="2">
        <v>4</v>
      </c>
      <c r="H18" s="2">
        <v>7</v>
      </c>
      <c r="I18" s="2">
        <v>0</v>
      </c>
      <c r="J18" s="2">
        <v>3</v>
      </c>
      <c r="K18" s="2" t="str" cm="1">
        <f t="array" ref="K18">_xlfn.IFS(Table1[[#This Row],[Exercise_Frequency(week)]]&lt;3, "Beginners (0–2 days)", Table1[[#This Row],[Exercise_Frequency(week)]]&lt;5, "Intermediate (3–4 days)", Table1[[#This Row],[Exercise_Frequency(week)]]&lt;8, "Advanced (5–7 days)")</f>
        <v>Intermediate (3–4 days)</v>
      </c>
      <c r="L18" t="s">
        <v>13</v>
      </c>
      <c r="M18" s="2">
        <v>5</v>
      </c>
    </row>
    <row r="19" spans="1:13" x14ac:dyDescent="0.5">
      <c r="A19" t="s">
        <v>276</v>
      </c>
      <c r="B19" s="2">
        <v>28</v>
      </c>
      <c r="C19" s="2" t="str" cm="1">
        <f t="array" ref="C19">_xlfn.IFS(B19&lt;25, "Youth (16–24)", B19&lt;35, "Young Adults (25–34)", B19&lt;45, "Adults (35–44)", B19&lt;55, "Middle-aged (45–54)")</f>
        <v>Young Adults (25–34)</v>
      </c>
      <c r="D19" t="s">
        <v>16</v>
      </c>
      <c r="E19" s="1">
        <v>6.2</v>
      </c>
      <c r="F19" s="1" t="str" cm="1">
        <f t="array" ref="F19">_xlfn.IFS(E19&lt;3, "Low (0–3 hrs)", E19&lt;6, "Moderate (3–6 hrs)", E19&lt;8, "High (6–8 hrs)", E19&gt;=8, "Very High (8+ hrs)")</f>
        <v>High (6–8 hrs)</v>
      </c>
      <c r="G19" s="2">
        <v>3</v>
      </c>
      <c r="H19" s="2">
        <v>8</v>
      </c>
      <c r="I19" s="2">
        <v>0</v>
      </c>
      <c r="J19" s="2">
        <v>3</v>
      </c>
      <c r="K19" s="2" t="str" cm="1">
        <f t="array" ref="K19">_xlfn.IFS(Table1[[#This Row],[Exercise_Frequency(week)]]&lt;3, "Beginners (0–2 days)", Table1[[#This Row],[Exercise_Frequency(week)]]&lt;5, "Intermediate (3–4 days)", Table1[[#This Row],[Exercise_Frequency(week)]]&lt;8, "Advanced (5–7 days)")</f>
        <v>Intermediate (3–4 days)</v>
      </c>
      <c r="L19" t="s">
        <v>17</v>
      </c>
      <c r="M19" s="2">
        <v>5</v>
      </c>
    </row>
    <row r="20" spans="1:13" x14ac:dyDescent="0.5">
      <c r="A20" t="s">
        <v>283</v>
      </c>
      <c r="B20" s="2">
        <v>27</v>
      </c>
      <c r="C20" s="2" t="str" cm="1">
        <f t="array" ref="C20">_xlfn.IFS(B20&lt;25, "Youth (16–24)", B20&lt;35, "Young Adults (25–34)", B20&lt;45, "Adults (35–44)", B20&lt;55, "Middle-aged (45–54)")</f>
        <v>Young Adults (25–34)</v>
      </c>
      <c r="D20" t="s">
        <v>16</v>
      </c>
      <c r="E20" s="1">
        <v>7.4</v>
      </c>
      <c r="F20" s="1" t="str" cm="1">
        <f t="array" ref="F20">_xlfn.IFS(E20&lt;3, "Low (0–3 hrs)", E20&lt;6, "Moderate (3–6 hrs)", E20&lt;8, "High (6–8 hrs)", E20&gt;=8, "Very High (8+ hrs)")</f>
        <v>High (6–8 hrs)</v>
      </c>
      <c r="G20" s="2">
        <v>4</v>
      </c>
      <c r="H20" s="2">
        <v>9</v>
      </c>
      <c r="I20" s="2">
        <v>5</v>
      </c>
      <c r="J20" s="2">
        <v>3</v>
      </c>
      <c r="K20" s="2" t="str" cm="1">
        <f t="array" ref="K20">_xlfn.IFS(Table1[[#This Row],[Exercise_Frequency(week)]]&lt;3, "Beginners (0–2 days)", Table1[[#This Row],[Exercise_Frequency(week)]]&lt;5, "Intermediate (3–4 days)", Table1[[#This Row],[Exercise_Frequency(week)]]&lt;8, "Advanced (5–7 days)")</f>
        <v>Intermediate (3–4 days)</v>
      </c>
      <c r="L20" t="s">
        <v>12</v>
      </c>
      <c r="M20" s="2">
        <v>5</v>
      </c>
    </row>
    <row r="21" spans="1:13" x14ac:dyDescent="0.5">
      <c r="A21" t="s">
        <v>458</v>
      </c>
      <c r="B21" s="2">
        <v>23</v>
      </c>
      <c r="C21" s="2" t="str" cm="1">
        <f t="array" ref="C21">_xlfn.IFS(B21&lt;25, "Youth (16–24)", B21&lt;35, "Young Adults (25–34)", B21&lt;45, "Adults (35–44)", B21&lt;55, "Middle-aged (45–54)")</f>
        <v>Youth (16–24)</v>
      </c>
      <c r="D21" t="s">
        <v>11</v>
      </c>
      <c r="E21" s="1">
        <v>6.5</v>
      </c>
      <c r="F21" s="1" t="str" cm="1">
        <f t="array" ref="F21">_xlfn.IFS(E21&lt;3, "Low (0–3 hrs)", E21&lt;6, "Moderate (3–6 hrs)", E21&lt;8, "High (6–8 hrs)", E21&gt;=8, "Very High (8+ hrs)")</f>
        <v>High (6–8 hrs)</v>
      </c>
      <c r="G21" s="2">
        <v>5</v>
      </c>
      <c r="H21" s="2">
        <v>10</v>
      </c>
      <c r="I21" s="2">
        <v>5</v>
      </c>
      <c r="J21" s="2">
        <v>3</v>
      </c>
      <c r="K21" s="2" t="str" cm="1">
        <f t="array" ref="K21">_xlfn.IFS(Table1[[#This Row],[Exercise_Frequency(week)]]&lt;3, "Beginners (0–2 days)", Table1[[#This Row],[Exercise_Frequency(week)]]&lt;5, "Intermediate (3–4 days)", Table1[[#This Row],[Exercise_Frequency(week)]]&lt;8, "Advanced (5–7 days)")</f>
        <v>Intermediate (3–4 days)</v>
      </c>
      <c r="L21" t="s">
        <v>13</v>
      </c>
      <c r="M21" s="2">
        <v>5</v>
      </c>
    </row>
    <row r="22" spans="1:13" x14ac:dyDescent="0.5">
      <c r="A22" t="s">
        <v>325</v>
      </c>
      <c r="B22" s="2">
        <v>27</v>
      </c>
      <c r="C22" s="2" t="str" cm="1">
        <f t="array" ref="C22">_xlfn.IFS(B22&lt;25, "Youth (16–24)", B22&lt;35, "Young Adults (25–34)", B22&lt;45, "Adults (35–44)", B22&lt;55, "Middle-aged (45–54)")</f>
        <v>Young Adults (25–34)</v>
      </c>
      <c r="D22" t="s">
        <v>11</v>
      </c>
      <c r="E22" s="1">
        <v>10.8</v>
      </c>
      <c r="F22" s="1" t="str" cm="1">
        <f t="array" ref="F22">_xlfn.IFS(E22&lt;3, "Low (0–3 hrs)", E22&lt;6, "Moderate (3–6 hrs)", E22&lt;8, "High (6–8 hrs)", E22&gt;=8, "Very High (8+ hrs)")</f>
        <v>Very High (8+ hrs)</v>
      </c>
      <c r="G22" s="2">
        <v>2</v>
      </c>
      <c r="H22" s="2">
        <v>9</v>
      </c>
      <c r="I22" s="2">
        <v>3</v>
      </c>
      <c r="J22" s="2">
        <v>2</v>
      </c>
      <c r="K22" s="2" t="str" cm="1">
        <f t="array" ref="K22">_xlfn.IFS(Table1[[#This Row],[Exercise_Frequency(week)]]&lt;3, "Beginners (0–2 days)", Table1[[#This Row],[Exercise_Frequency(week)]]&lt;5, "Intermediate (3–4 days)", Table1[[#This Row],[Exercise_Frequency(week)]]&lt;8, "Advanced (5–7 days)")</f>
        <v>Beginners (0–2 days)</v>
      </c>
      <c r="L22" t="s">
        <v>19</v>
      </c>
      <c r="M22" s="2">
        <v>5</v>
      </c>
    </row>
    <row r="23" spans="1:13" x14ac:dyDescent="0.5">
      <c r="A23" t="s">
        <v>85</v>
      </c>
      <c r="B23" s="2">
        <v>48</v>
      </c>
      <c r="C23" s="2" t="str" cm="1">
        <f t="array" ref="C23">_xlfn.IFS(B23&lt;25, "Youth (16–24)", B23&lt;35, "Young Adults (25–34)", B23&lt;45, "Adults (35–44)", B23&lt;55, "Middle-aged (45–54)")</f>
        <v>Middle-aged (45–54)</v>
      </c>
      <c r="D23" t="s">
        <v>16</v>
      </c>
      <c r="E23" s="1">
        <v>9.6999999999999993</v>
      </c>
      <c r="F23" s="1" t="str" cm="1">
        <f t="array" ref="F23">_xlfn.IFS(E23&lt;3, "Low (0–3 hrs)", E23&lt;6, "Moderate (3–6 hrs)", E23&lt;8, "High (6–8 hrs)", E23&gt;=8, "Very High (8+ hrs)")</f>
        <v>Very High (8+ hrs)</v>
      </c>
      <c r="G23" s="2">
        <v>4</v>
      </c>
      <c r="H23" s="2">
        <v>8</v>
      </c>
      <c r="I23" s="2">
        <v>5</v>
      </c>
      <c r="J23" s="2">
        <v>1</v>
      </c>
      <c r="K23" s="2" t="str" cm="1">
        <f t="array" ref="K23">_xlfn.IFS(Table1[[#This Row],[Exercise_Frequency(week)]]&lt;3, "Beginners (0–2 days)", Table1[[#This Row],[Exercise_Frequency(week)]]&lt;5, "Intermediate (3–4 days)", Table1[[#This Row],[Exercise_Frequency(week)]]&lt;8, "Advanced (5–7 days)")</f>
        <v>Beginners (0–2 days)</v>
      </c>
      <c r="L23" t="s">
        <v>13</v>
      </c>
      <c r="M23" s="2">
        <v>5</v>
      </c>
    </row>
    <row r="24" spans="1:13" x14ac:dyDescent="0.5">
      <c r="A24" t="s">
        <v>298</v>
      </c>
      <c r="B24" s="2">
        <v>20</v>
      </c>
      <c r="C24" s="2" t="str" cm="1">
        <f t="array" ref="C24">_xlfn.IFS(B24&lt;25, "Youth (16–24)", B24&lt;35, "Young Adults (25–34)", B24&lt;45, "Adults (35–44)", B24&lt;55, "Middle-aged (45–54)")</f>
        <v>Youth (16–24)</v>
      </c>
      <c r="D24" t="s">
        <v>11</v>
      </c>
      <c r="E24" s="1">
        <v>7.7</v>
      </c>
      <c r="F24" s="1" t="str" cm="1">
        <f t="array" ref="F24">_xlfn.IFS(E24&lt;3, "Low (0–3 hrs)", E24&lt;6, "Moderate (3–6 hrs)", E24&lt;8, "High (6–8 hrs)", E24&gt;=8, "Very High (8+ hrs)")</f>
        <v>High (6–8 hrs)</v>
      </c>
      <c r="G24" s="2">
        <v>4</v>
      </c>
      <c r="H24" s="2">
        <v>8</v>
      </c>
      <c r="I24" s="2">
        <v>5</v>
      </c>
      <c r="J24" s="2">
        <v>0</v>
      </c>
      <c r="K24" s="2" t="str" cm="1">
        <f t="array" ref="K24">_xlfn.IFS(Table1[[#This Row],[Exercise_Frequency(week)]]&lt;3, "Beginners (0–2 days)", Table1[[#This Row],[Exercise_Frequency(week)]]&lt;5, "Intermediate (3–4 days)", Table1[[#This Row],[Exercise_Frequency(week)]]&lt;8, "Advanced (5–7 days)")</f>
        <v>Beginners (0–2 days)</v>
      </c>
      <c r="L24" t="s">
        <v>14</v>
      </c>
      <c r="M24" s="2">
        <v>5</v>
      </c>
    </row>
    <row r="25" spans="1:13" x14ac:dyDescent="0.5">
      <c r="A25" t="s">
        <v>95</v>
      </c>
      <c r="B25" s="2">
        <v>42</v>
      </c>
      <c r="C25" s="2" t="str" cm="1">
        <f t="array" ref="C25">_xlfn.IFS(B25&lt;25, "Youth (16–24)", B25&lt;35, "Young Adults (25–34)", B25&lt;45, "Adults (35–44)", B25&lt;55, "Middle-aged (45–54)")</f>
        <v>Adults (35–44)</v>
      </c>
      <c r="D25" t="s">
        <v>11</v>
      </c>
      <c r="E25" s="1">
        <v>7.1</v>
      </c>
      <c r="F25" s="1" t="str" cm="1">
        <f t="array" ref="F25">_xlfn.IFS(E25&lt;3, "Low (0–3 hrs)", E25&lt;6, "Moderate (3–6 hrs)", E25&lt;8, "High (6–8 hrs)", E25&gt;=8, "Very High (8+ hrs)")</f>
        <v>High (6–8 hrs)</v>
      </c>
      <c r="G25" s="2">
        <v>3</v>
      </c>
      <c r="H25" s="2">
        <v>8</v>
      </c>
      <c r="I25" s="2">
        <v>6</v>
      </c>
      <c r="J25" s="2">
        <v>5</v>
      </c>
      <c r="K25" s="2" t="str" cm="1">
        <f t="array" ref="K25">_xlfn.IFS(Table1[[#This Row],[Exercise_Frequency(week)]]&lt;3, "Beginners (0–2 days)", Table1[[#This Row],[Exercise_Frequency(week)]]&lt;5, "Intermediate (3–4 days)", Table1[[#This Row],[Exercise_Frequency(week)]]&lt;8, "Advanced (5–7 days)")</f>
        <v>Advanced (5–7 days)</v>
      </c>
      <c r="L25" t="s">
        <v>23</v>
      </c>
      <c r="M25" s="2">
        <v>6</v>
      </c>
    </row>
    <row r="26" spans="1:13" x14ac:dyDescent="0.5">
      <c r="A26" t="s">
        <v>305</v>
      </c>
      <c r="B26" s="2">
        <v>45</v>
      </c>
      <c r="C26" s="2" t="str" cm="1">
        <f t="array" ref="C26">_xlfn.IFS(B26&lt;25, "Youth (16–24)", B26&lt;35, "Young Adults (25–34)", B26&lt;45, "Adults (35–44)", B26&lt;55, "Middle-aged (45–54)")</f>
        <v>Middle-aged (45–54)</v>
      </c>
      <c r="D26" t="s">
        <v>11</v>
      </c>
      <c r="E26" s="1">
        <v>7.7</v>
      </c>
      <c r="F26" s="1" t="str" cm="1">
        <f t="array" ref="F26">_xlfn.IFS(E26&lt;3, "Low (0–3 hrs)", E26&lt;6, "Moderate (3–6 hrs)", E26&lt;8, "High (6–8 hrs)", E26&gt;=8, "Very High (8+ hrs)")</f>
        <v>High (6–8 hrs)</v>
      </c>
      <c r="G26" s="2">
        <v>6</v>
      </c>
      <c r="H26" s="2">
        <v>9</v>
      </c>
      <c r="I26" s="2">
        <v>2</v>
      </c>
      <c r="J26" s="2">
        <v>5</v>
      </c>
      <c r="K26" s="2" t="str" cm="1">
        <f t="array" ref="K26">_xlfn.IFS(Table1[[#This Row],[Exercise_Frequency(week)]]&lt;3, "Beginners (0–2 days)", Table1[[#This Row],[Exercise_Frequency(week)]]&lt;5, "Intermediate (3–4 days)", Table1[[#This Row],[Exercise_Frequency(week)]]&lt;8, "Advanced (5–7 days)")</f>
        <v>Advanced (5–7 days)</v>
      </c>
      <c r="L26" t="s">
        <v>17</v>
      </c>
      <c r="M26" s="2">
        <v>6</v>
      </c>
    </row>
    <row r="27" spans="1:13" x14ac:dyDescent="0.5">
      <c r="A27" t="s">
        <v>104</v>
      </c>
      <c r="B27" s="2">
        <v>24</v>
      </c>
      <c r="C27" s="2" t="str" cm="1">
        <f t="array" ref="C27">_xlfn.IFS(B27&lt;25, "Youth (16–24)", B27&lt;35, "Young Adults (25–34)", B27&lt;45, "Adults (35–44)", B27&lt;55, "Middle-aged (45–54)")</f>
        <v>Youth (16–24)</v>
      </c>
      <c r="D27" t="s">
        <v>16</v>
      </c>
      <c r="E27" s="1">
        <v>6.1</v>
      </c>
      <c r="F27" s="1" t="str" cm="1">
        <f t="array" ref="F27">_xlfn.IFS(E27&lt;3, "Low (0–3 hrs)", E27&lt;6, "Moderate (3–6 hrs)", E27&lt;8, "High (6–8 hrs)", E27&gt;=8, "Very High (8+ hrs)")</f>
        <v>High (6–8 hrs)</v>
      </c>
      <c r="G27" s="2">
        <v>4</v>
      </c>
      <c r="H27" s="2">
        <v>9</v>
      </c>
      <c r="I27" s="2">
        <v>0</v>
      </c>
      <c r="J27" s="2">
        <v>4</v>
      </c>
      <c r="K27" s="2" t="str" cm="1">
        <f t="array" ref="K27">_xlfn.IFS(Table1[[#This Row],[Exercise_Frequency(week)]]&lt;3, "Beginners (0–2 days)", Table1[[#This Row],[Exercise_Frequency(week)]]&lt;5, "Intermediate (3–4 days)", Table1[[#This Row],[Exercise_Frequency(week)]]&lt;8, "Advanced (5–7 days)")</f>
        <v>Intermediate (3–4 days)</v>
      </c>
      <c r="L27" t="s">
        <v>12</v>
      </c>
      <c r="M27" s="2">
        <v>6</v>
      </c>
    </row>
    <row r="28" spans="1:13" x14ac:dyDescent="0.5">
      <c r="A28" t="s">
        <v>360</v>
      </c>
      <c r="B28" s="2">
        <v>27</v>
      </c>
      <c r="C28" s="2" t="str" cm="1">
        <f t="array" ref="C28">_xlfn.IFS(B28&lt;25, "Youth (16–24)", B28&lt;35, "Young Adults (25–34)", B28&lt;45, "Adults (35–44)", B28&lt;55, "Middle-aged (45–54)")</f>
        <v>Young Adults (25–34)</v>
      </c>
      <c r="D28" t="s">
        <v>11</v>
      </c>
      <c r="E28" s="1">
        <v>7.8</v>
      </c>
      <c r="F28" s="1" t="str" cm="1">
        <f t="array" ref="F28">_xlfn.IFS(E28&lt;3, "Low (0–3 hrs)", E28&lt;6, "Moderate (3–6 hrs)", E28&lt;8, "High (6–8 hrs)", E28&gt;=8, "Very High (8+ hrs)")</f>
        <v>High (6–8 hrs)</v>
      </c>
      <c r="G28" s="2">
        <v>5</v>
      </c>
      <c r="H28" s="2">
        <v>8</v>
      </c>
      <c r="I28" s="2">
        <v>0</v>
      </c>
      <c r="J28" s="2">
        <v>4</v>
      </c>
      <c r="K28" s="2" t="str" cm="1">
        <f t="array" ref="K28">_xlfn.IFS(Table1[[#This Row],[Exercise_Frequency(week)]]&lt;3, "Beginners (0–2 days)", Table1[[#This Row],[Exercise_Frequency(week)]]&lt;5, "Intermediate (3–4 days)", Table1[[#This Row],[Exercise_Frequency(week)]]&lt;8, "Advanced (5–7 days)")</f>
        <v>Intermediate (3–4 days)</v>
      </c>
      <c r="L28" t="s">
        <v>17</v>
      </c>
      <c r="M28" s="2">
        <v>6</v>
      </c>
    </row>
    <row r="29" spans="1:13" x14ac:dyDescent="0.5">
      <c r="A29" t="s">
        <v>185</v>
      </c>
      <c r="B29" s="2">
        <v>33</v>
      </c>
      <c r="C29" s="2" t="str" cm="1">
        <f t="array" ref="C29">_xlfn.IFS(B29&lt;25, "Youth (16–24)", B29&lt;35, "Young Adults (25–34)", B29&lt;45, "Adults (35–44)", B29&lt;55, "Middle-aged (45–54)")</f>
        <v>Young Adults (25–34)</v>
      </c>
      <c r="D29" t="s">
        <v>11</v>
      </c>
      <c r="E29" s="1">
        <v>6.3</v>
      </c>
      <c r="F29" s="1" t="str" cm="1">
        <f t="array" ref="F29">_xlfn.IFS(E29&lt;3, "Low (0–3 hrs)", E29&lt;6, "Moderate (3–6 hrs)", E29&lt;8, "High (6–8 hrs)", E29&gt;=8, "Very High (8+ hrs)")</f>
        <v>High (6–8 hrs)</v>
      </c>
      <c r="G29" s="2">
        <v>6</v>
      </c>
      <c r="H29" s="2">
        <v>8</v>
      </c>
      <c r="I29" s="2">
        <v>7</v>
      </c>
      <c r="J29" s="2">
        <v>3</v>
      </c>
      <c r="K29" s="2" t="str" cm="1">
        <f t="array" ref="K29">_xlfn.IFS(Table1[[#This Row],[Exercise_Frequency(week)]]&lt;3, "Beginners (0–2 days)", Table1[[#This Row],[Exercise_Frequency(week)]]&lt;5, "Intermediate (3–4 days)", Table1[[#This Row],[Exercise_Frequency(week)]]&lt;8, "Advanced (5–7 days)")</f>
        <v>Intermediate (3–4 days)</v>
      </c>
      <c r="L29" t="s">
        <v>19</v>
      </c>
      <c r="M29" s="2">
        <v>6</v>
      </c>
    </row>
    <row r="30" spans="1:13" x14ac:dyDescent="0.5">
      <c r="A30" t="s">
        <v>207</v>
      </c>
      <c r="B30" s="2">
        <v>39</v>
      </c>
      <c r="C30" s="2" t="str" cm="1">
        <f t="array" ref="C30">_xlfn.IFS(B30&lt;25, "Youth (16–24)", B30&lt;35, "Young Adults (25–34)", B30&lt;45, "Adults (35–44)", B30&lt;55, "Middle-aged (45–54)")</f>
        <v>Adults (35–44)</v>
      </c>
      <c r="D30" t="s">
        <v>16</v>
      </c>
      <c r="E30" s="1">
        <v>4.5999999999999996</v>
      </c>
      <c r="F30" s="1" t="str" cm="1">
        <f t="array" ref="F30">_xlfn.IFS(E30&lt;3, "Low (0–3 hrs)", E30&lt;6, "Moderate (3–6 hrs)", E30&lt;8, "High (6–8 hrs)", E30&gt;=8, "Very High (8+ hrs)")</f>
        <v>Moderate (3–6 hrs)</v>
      </c>
      <c r="G30" s="2">
        <v>6</v>
      </c>
      <c r="H30" s="2">
        <v>7</v>
      </c>
      <c r="I30" s="2">
        <v>3</v>
      </c>
      <c r="J30" s="2">
        <v>3</v>
      </c>
      <c r="K30" s="2" t="str" cm="1">
        <f t="array" ref="K30">_xlfn.IFS(Table1[[#This Row],[Exercise_Frequency(week)]]&lt;3, "Beginners (0–2 days)", Table1[[#This Row],[Exercise_Frequency(week)]]&lt;5, "Intermediate (3–4 days)", Table1[[#This Row],[Exercise_Frequency(week)]]&lt;8, "Advanced (5–7 days)")</f>
        <v>Intermediate (3–4 days)</v>
      </c>
      <c r="L30" t="s">
        <v>17</v>
      </c>
      <c r="M30" s="2">
        <v>6</v>
      </c>
    </row>
    <row r="31" spans="1:13" x14ac:dyDescent="0.5">
      <c r="A31" t="s">
        <v>274</v>
      </c>
      <c r="B31" s="2">
        <v>40</v>
      </c>
      <c r="C31" s="2" t="str" cm="1">
        <f t="array" ref="C31">_xlfn.IFS(B31&lt;25, "Youth (16–24)", B31&lt;35, "Young Adults (25–34)", B31&lt;45, "Adults (35–44)", B31&lt;55, "Middle-aged (45–54)")</f>
        <v>Adults (35–44)</v>
      </c>
      <c r="D31" t="s">
        <v>16</v>
      </c>
      <c r="E31" s="1">
        <v>8</v>
      </c>
      <c r="F31" s="1" t="str" cm="1">
        <f t="array" ref="F31">_xlfn.IFS(E31&lt;3, "Low (0–3 hrs)", E31&lt;6, "Moderate (3–6 hrs)", E31&lt;8, "High (6–8 hrs)", E31&gt;=8, "Very High (8+ hrs)")</f>
        <v>Very High (8+ hrs)</v>
      </c>
      <c r="G31" s="2">
        <v>5</v>
      </c>
      <c r="H31" s="2">
        <v>8</v>
      </c>
      <c r="I31" s="2">
        <v>3</v>
      </c>
      <c r="J31" s="2">
        <v>3</v>
      </c>
      <c r="K31" s="2" t="str" cm="1">
        <f t="array" ref="K31">_xlfn.IFS(Table1[[#This Row],[Exercise_Frequency(week)]]&lt;3, "Beginners (0–2 days)", Table1[[#This Row],[Exercise_Frequency(week)]]&lt;5, "Intermediate (3–4 days)", Table1[[#This Row],[Exercise_Frequency(week)]]&lt;8, "Advanced (5–7 days)")</f>
        <v>Intermediate (3–4 days)</v>
      </c>
      <c r="L31" t="s">
        <v>17</v>
      </c>
      <c r="M31" s="2">
        <v>6</v>
      </c>
    </row>
    <row r="32" spans="1:13" x14ac:dyDescent="0.5">
      <c r="A32" t="s">
        <v>373</v>
      </c>
      <c r="B32" s="2">
        <v>32</v>
      </c>
      <c r="C32" s="2" t="str" cm="1">
        <f t="array" ref="C32">_xlfn.IFS(B32&lt;25, "Youth (16–24)", B32&lt;35, "Young Adults (25–34)", B32&lt;45, "Adults (35–44)", B32&lt;55, "Middle-aged (45–54)")</f>
        <v>Young Adults (25–34)</v>
      </c>
      <c r="D32" t="s">
        <v>11</v>
      </c>
      <c r="E32" s="1">
        <v>7.5</v>
      </c>
      <c r="F32" s="1" t="str" cm="1">
        <f t="array" ref="F32">_xlfn.IFS(E32&lt;3, "Low (0–3 hrs)", E32&lt;6, "Moderate (3–6 hrs)", E32&lt;8, "High (6–8 hrs)", E32&gt;=8, "Very High (8+ hrs)")</f>
        <v>High (6–8 hrs)</v>
      </c>
      <c r="G32" s="2">
        <v>4</v>
      </c>
      <c r="H32" s="2">
        <v>7</v>
      </c>
      <c r="I32" s="2">
        <v>2</v>
      </c>
      <c r="J32" s="2">
        <v>3</v>
      </c>
      <c r="K32" s="2" t="str" cm="1">
        <f t="array" ref="K32">_xlfn.IFS(Table1[[#This Row],[Exercise_Frequency(week)]]&lt;3, "Beginners (0–2 days)", Table1[[#This Row],[Exercise_Frequency(week)]]&lt;5, "Intermediate (3–4 days)", Table1[[#This Row],[Exercise_Frequency(week)]]&lt;8, "Advanced (5–7 days)")</f>
        <v>Intermediate (3–4 days)</v>
      </c>
      <c r="L32" t="s">
        <v>23</v>
      </c>
      <c r="M32" s="2">
        <v>6</v>
      </c>
    </row>
    <row r="33" spans="1:13" x14ac:dyDescent="0.5">
      <c r="A33" t="s">
        <v>409</v>
      </c>
      <c r="B33" s="2">
        <v>24</v>
      </c>
      <c r="C33" s="2" t="str" cm="1">
        <f t="array" ref="C33">_xlfn.IFS(B33&lt;25, "Youth (16–24)", B33&lt;35, "Young Adults (25–34)", B33&lt;45, "Adults (35–44)", B33&lt;55, "Middle-aged (45–54)")</f>
        <v>Youth (16–24)</v>
      </c>
      <c r="D33" t="s">
        <v>11</v>
      </c>
      <c r="E33" s="1">
        <v>8.8000000000000007</v>
      </c>
      <c r="F33" s="1" t="str" cm="1">
        <f t="array" ref="F33">_xlfn.IFS(E33&lt;3, "Low (0–3 hrs)", E33&lt;6, "Moderate (3–6 hrs)", E33&lt;8, "High (6–8 hrs)", E33&gt;=8, "Very High (8+ hrs)")</f>
        <v>Very High (8+ hrs)</v>
      </c>
      <c r="G33" s="2">
        <v>5</v>
      </c>
      <c r="H33" s="2">
        <v>9</v>
      </c>
      <c r="I33" s="2">
        <v>0</v>
      </c>
      <c r="J33" s="2">
        <v>3</v>
      </c>
      <c r="K33" s="2" t="str" cm="1">
        <f t="array" ref="K33">_xlfn.IFS(Table1[[#This Row],[Exercise_Frequency(week)]]&lt;3, "Beginners (0–2 days)", Table1[[#This Row],[Exercise_Frequency(week)]]&lt;5, "Intermediate (3–4 days)", Table1[[#This Row],[Exercise_Frequency(week)]]&lt;8, "Advanced (5–7 days)")</f>
        <v>Intermediate (3–4 days)</v>
      </c>
      <c r="L33" t="s">
        <v>14</v>
      </c>
      <c r="M33" s="2">
        <v>6</v>
      </c>
    </row>
    <row r="34" spans="1:13" x14ac:dyDescent="0.5">
      <c r="A34" t="s">
        <v>437</v>
      </c>
      <c r="B34" s="2">
        <v>44</v>
      </c>
      <c r="C34" s="2" t="str" cm="1">
        <f t="array" ref="C34">_xlfn.IFS(B34&lt;25, "Youth (16–24)", B34&lt;35, "Young Adults (25–34)", B34&lt;45, "Adults (35–44)", B34&lt;55, "Middle-aged (45–54)")</f>
        <v>Adults (35–44)</v>
      </c>
      <c r="D34" t="s">
        <v>16</v>
      </c>
      <c r="E34" s="1">
        <v>6.4</v>
      </c>
      <c r="F34" s="1" t="str" cm="1">
        <f t="array" ref="F34">_xlfn.IFS(E34&lt;3, "Low (0–3 hrs)", E34&lt;6, "Moderate (3–6 hrs)", E34&lt;8, "High (6–8 hrs)", E34&gt;=8, "Very High (8+ hrs)")</f>
        <v>High (6–8 hrs)</v>
      </c>
      <c r="G34" s="2">
        <v>5</v>
      </c>
      <c r="H34" s="2">
        <v>6</v>
      </c>
      <c r="I34" s="2">
        <v>5</v>
      </c>
      <c r="J34" s="2">
        <v>3</v>
      </c>
      <c r="K34" s="2" t="str" cm="1">
        <f t="array" ref="K34">_xlfn.IFS(Table1[[#This Row],[Exercise_Frequency(week)]]&lt;3, "Beginners (0–2 days)", Table1[[#This Row],[Exercise_Frequency(week)]]&lt;5, "Intermediate (3–4 days)", Table1[[#This Row],[Exercise_Frequency(week)]]&lt;8, "Advanced (5–7 days)")</f>
        <v>Intermediate (3–4 days)</v>
      </c>
      <c r="L34" t="s">
        <v>14</v>
      </c>
      <c r="M34" s="2">
        <v>6</v>
      </c>
    </row>
    <row r="35" spans="1:13" x14ac:dyDescent="0.5">
      <c r="A35" t="s">
        <v>449</v>
      </c>
      <c r="B35" s="2">
        <v>42</v>
      </c>
      <c r="C35" s="2" t="str" cm="1">
        <f t="array" ref="C35">_xlfn.IFS(B35&lt;25, "Youth (16–24)", B35&lt;35, "Young Adults (25–34)", B35&lt;45, "Adults (35–44)", B35&lt;55, "Middle-aged (45–54)")</f>
        <v>Adults (35–44)</v>
      </c>
      <c r="D35" t="s">
        <v>16</v>
      </c>
      <c r="E35" s="1">
        <v>6.2</v>
      </c>
      <c r="F35" s="1" t="str" cm="1">
        <f t="array" ref="F35">_xlfn.IFS(E35&lt;3, "Low (0–3 hrs)", E35&lt;6, "Moderate (3–6 hrs)", E35&lt;8, "High (6–8 hrs)", E35&gt;=8, "Very High (8+ hrs)")</f>
        <v>High (6–8 hrs)</v>
      </c>
      <c r="G35" s="2">
        <v>6</v>
      </c>
      <c r="H35" s="2">
        <v>6</v>
      </c>
      <c r="I35" s="2">
        <v>3</v>
      </c>
      <c r="J35" s="2">
        <v>3</v>
      </c>
      <c r="K35" s="2" t="str" cm="1">
        <f t="array" ref="K35">_xlfn.IFS(Table1[[#This Row],[Exercise_Frequency(week)]]&lt;3, "Beginners (0–2 days)", Table1[[#This Row],[Exercise_Frequency(week)]]&lt;5, "Intermediate (3–4 days)", Table1[[#This Row],[Exercise_Frequency(week)]]&lt;8, "Advanced (5–7 days)")</f>
        <v>Intermediate (3–4 days)</v>
      </c>
      <c r="L35" t="s">
        <v>13</v>
      </c>
      <c r="M35" s="2">
        <v>6</v>
      </c>
    </row>
    <row r="36" spans="1:13" x14ac:dyDescent="0.5">
      <c r="A36" t="s">
        <v>485</v>
      </c>
      <c r="B36" s="2">
        <v>31</v>
      </c>
      <c r="C36" s="2" t="str" cm="1">
        <f t="array" ref="C36">_xlfn.IFS(B36&lt;25, "Youth (16–24)", B36&lt;35, "Young Adults (25–34)", B36&lt;45, "Adults (35–44)", B36&lt;55, "Middle-aged (45–54)")</f>
        <v>Young Adults (25–34)</v>
      </c>
      <c r="D36" t="s">
        <v>11</v>
      </c>
      <c r="E36" s="1">
        <v>7.9</v>
      </c>
      <c r="F36" s="1" t="str" cm="1">
        <f t="array" ref="F36">_xlfn.IFS(E36&lt;3, "Low (0–3 hrs)", E36&lt;6, "Moderate (3–6 hrs)", E36&lt;8, "High (6–8 hrs)", E36&gt;=8, "Very High (8+ hrs)")</f>
        <v>High (6–8 hrs)</v>
      </c>
      <c r="G36" s="2">
        <v>5</v>
      </c>
      <c r="H36" s="2">
        <v>8</v>
      </c>
      <c r="I36" s="2">
        <v>2</v>
      </c>
      <c r="J36" s="2">
        <v>3</v>
      </c>
      <c r="K36" s="2" t="str" cm="1">
        <f t="array" ref="K36">_xlfn.IFS(Table1[[#This Row],[Exercise_Frequency(week)]]&lt;3, "Beginners (0–2 days)", Table1[[#This Row],[Exercise_Frequency(week)]]&lt;5, "Intermediate (3–4 days)", Table1[[#This Row],[Exercise_Frequency(week)]]&lt;8, "Advanced (5–7 days)")</f>
        <v>Intermediate (3–4 days)</v>
      </c>
      <c r="L36" t="s">
        <v>12</v>
      </c>
      <c r="M36" s="2">
        <v>6</v>
      </c>
    </row>
    <row r="37" spans="1:13" x14ac:dyDescent="0.5">
      <c r="A37" t="s">
        <v>67</v>
      </c>
      <c r="B37" s="2">
        <v>31</v>
      </c>
      <c r="C37" s="2" t="str" cm="1">
        <f t="array" ref="C37">_xlfn.IFS(B37&lt;25, "Youth (16–24)", B37&lt;35, "Young Adults (25–34)", B37&lt;45, "Adults (35–44)", B37&lt;55, "Middle-aged (45–54)")</f>
        <v>Young Adults (25–34)</v>
      </c>
      <c r="D37" t="s">
        <v>11</v>
      </c>
      <c r="E37" s="1">
        <v>7.6</v>
      </c>
      <c r="F37" s="1" t="str" cm="1">
        <f t="array" ref="F37">_xlfn.IFS(E37&lt;3, "Low (0–3 hrs)", E37&lt;6, "Moderate (3–6 hrs)", E37&lt;8, "High (6–8 hrs)", E37&gt;=8, "Very High (8+ hrs)")</f>
        <v>High (6–8 hrs)</v>
      </c>
      <c r="G37" s="2">
        <v>5</v>
      </c>
      <c r="H37" s="2">
        <v>10</v>
      </c>
      <c r="I37" s="2">
        <v>3</v>
      </c>
      <c r="J37" s="2">
        <v>2</v>
      </c>
      <c r="K37" s="2" t="str" cm="1">
        <f t="array" ref="K37">_xlfn.IFS(Table1[[#This Row],[Exercise_Frequency(week)]]&lt;3, "Beginners (0–2 days)", Table1[[#This Row],[Exercise_Frequency(week)]]&lt;5, "Intermediate (3–4 days)", Table1[[#This Row],[Exercise_Frequency(week)]]&lt;8, "Advanced (5–7 days)")</f>
        <v>Beginners (0–2 days)</v>
      </c>
      <c r="L37" t="s">
        <v>23</v>
      </c>
      <c r="M37" s="2">
        <v>6</v>
      </c>
    </row>
    <row r="38" spans="1:13" x14ac:dyDescent="0.5">
      <c r="A38" t="s">
        <v>86</v>
      </c>
      <c r="B38" s="2">
        <v>20</v>
      </c>
      <c r="C38" s="2" t="str" cm="1">
        <f t="array" ref="C38">_xlfn.IFS(B38&lt;25, "Youth (16–24)", B38&lt;35, "Young Adults (25–34)", B38&lt;45, "Adults (35–44)", B38&lt;55, "Middle-aged (45–54)")</f>
        <v>Youth (16–24)</v>
      </c>
      <c r="D38" t="s">
        <v>16</v>
      </c>
      <c r="E38" s="1">
        <v>7.2</v>
      </c>
      <c r="F38" s="1" t="str" cm="1">
        <f t="array" ref="F38">_xlfn.IFS(E38&lt;3, "Low (0–3 hrs)", E38&lt;6, "Moderate (3–6 hrs)", E38&lt;8, "High (6–8 hrs)", E38&gt;=8, "Very High (8+ hrs)")</f>
        <v>High (6–8 hrs)</v>
      </c>
      <c r="G38" s="2">
        <v>6</v>
      </c>
      <c r="H38" s="2">
        <v>9</v>
      </c>
      <c r="I38" s="2">
        <v>1</v>
      </c>
      <c r="J38" s="2">
        <v>2</v>
      </c>
      <c r="K38" s="2" t="str" cm="1">
        <f t="array" ref="K38">_xlfn.IFS(Table1[[#This Row],[Exercise_Frequency(week)]]&lt;3, "Beginners (0–2 days)", Table1[[#This Row],[Exercise_Frequency(week)]]&lt;5, "Intermediate (3–4 days)", Table1[[#This Row],[Exercise_Frequency(week)]]&lt;8, "Advanced (5–7 days)")</f>
        <v>Beginners (0–2 days)</v>
      </c>
      <c r="L38" t="s">
        <v>23</v>
      </c>
      <c r="M38" s="2">
        <v>6</v>
      </c>
    </row>
    <row r="39" spans="1:13" x14ac:dyDescent="0.5">
      <c r="A39" t="s">
        <v>112</v>
      </c>
      <c r="B39" s="2">
        <v>45</v>
      </c>
      <c r="C39" s="2" t="str" cm="1">
        <f t="array" ref="C39">_xlfn.IFS(B39&lt;25, "Youth (16–24)", B39&lt;35, "Young Adults (25–34)", B39&lt;45, "Adults (35–44)", B39&lt;55, "Middle-aged (45–54)")</f>
        <v>Middle-aged (45–54)</v>
      </c>
      <c r="D39" t="s">
        <v>11</v>
      </c>
      <c r="E39" s="1">
        <v>6.3</v>
      </c>
      <c r="F39" s="1" t="str" cm="1">
        <f t="array" ref="F39">_xlfn.IFS(E39&lt;3, "Low (0–3 hrs)", E39&lt;6, "Moderate (3–6 hrs)", E39&lt;8, "High (6–8 hrs)", E39&gt;=8, "Very High (8+ hrs)")</f>
        <v>High (6–8 hrs)</v>
      </c>
      <c r="G39" s="2">
        <v>7</v>
      </c>
      <c r="H39" s="2">
        <v>8</v>
      </c>
      <c r="I39" s="2">
        <v>0</v>
      </c>
      <c r="J39" s="2">
        <v>2</v>
      </c>
      <c r="K39" s="2" t="str" cm="1">
        <f t="array" ref="K39">_xlfn.IFS(Table1[[#This Row],[Exercise_Frequency(week)]]&lt;3, "Beginners (0–2 days)", Table1[[#This Row],[Exercise_Frequency(week)]]&lt;5, "Intermediate (3–4 days)", Table1[[#This Row],[Exercise_Frequency(week)]]&lt;8, "Advanced (5–7 days)")</f>
        <v>Beginners (0–2 days)</v>
      </c>
      <c r="L39" t="s">
        <v>13</v>
      </c>
      <c r="M39" s="2">
        <v>6</v>
      </c>
    </row>
    <row r="40" spans="1:13" x14ac:dyDescent="0.5">
      <c r="A40" t="s">
        <v>118</v>
      </c>
      <c r="B40" s="2">
        <v>22</v>
      </c>
      <c r="C40" s="2" t="str" cm="1">
        <f t="array" ref="C40">_xlfn.IFS(B40&lt;25, "Youth (16–24)", B40&lt;35, "Young Adults (25–34)", B40&lt;45, "Adults (35–44)", B40&lt;55, "Middle-aged (45–54)")</f>
        <v>Youth (16–24)</v>
      </c>
      <c r="D40" t="s">
        <v>16</v>
      </c>
      <c r="E40" s="1">
        <v>8.3000000000000007</v>
      </c>
      <c r="F40" s="1" t="str" cm="1">
        <f t="array" ref="F40">_xlfn.IFS(E40&lt;3, "Low (0–3 hrs)", E40&lt;6, "Moderate (3–6 hrs)", E40&lt;8, "High (6–8 hrs)", E40&gt;=8, "Very High (8+ hrs)")</f>
        <v>Very High (8+ hrs)</v>
      </c>
      <c r="G40" s="2">
        <v>5</v>
      </c>
      <c r="H40" s="2">
        <v>10</v>
      </c>
      <c r="I40" s="2">
        <v>0</v>
      </c>
      <c r="J40" s="2">
        <v>2</v>
      </c>
      <c r="K40" s="2" t="str" cm="1">
        <f t="array" ref="K40">_xlfn.IFS(Table1[[#This Row],[Exercise_Frequency(week)]]&lt;3, "Beginners (0–2 days)", Table1[[#This Row],[Exercise_Frequency(week)]]&lt;5, "Intermediate (3–4 days)", Table1[[#This Row],[Exercise_Frequency(week)]]&lt;8, "Advanced (5–7 days)")</f>
        <v>Beginners (0–2 days)</v>
      </c>
      <c r="L40" t="s">
        <v>23</v>
      </c>
      <c r="M40" s="2">
        <v>6</v>
      </c>
    </row>
    <row r="41" spans="1:13" x14ac:dyDescent="0.5">
      <c r="A41" t="s">
        <v>192</v>
      </c>
      <c r="B41" s="2">
        <v>22</v>
      </c>
      <c r="C41" s="2" t="str" cm="1">
        <f t="array" ref="C41">_xlfn.IFS(B41&lt;25, "Youth (16–24)", B41&lt;35, "Young Adults (25–34)", B41&lt;45, "Adults (35–44)", B41&lt;55, "Middle-aged (45–54)")</f>
        <v>Youth (16–24)</v>
      </c>
      <c r="D41" t="s">
        <v>16</v>
      </c>
      <c r="E41" s="1">
        <v>6.2</v>
      </c>
      <c r="F41" s="1" t="str" cm="1">
        <f t="array" ref="F41">_xlfn.IFS(E41&lt;3, "Low (0–3 hrs)", E41&lt;6, "Moderate (3–6 hrs)", E41&lt;8, "High (6–8 hrs)", E41&gt;=8, "Very High (8+ hrs)")</f>
        <v>High (6–8 hrs)</v>
      </c>
      <c r="G41" s="2">
        <v>6</v>
      </c>
      <c r="H41" s="2">
        <v>9</v>
      </c>
      <c r="I41" s="2">
        <v>2</v>
      </c>
      <c r="J41" s="2">
        <v>2</v>
      </c>
      <c r="K41" s="2" t="str" cm="1">
        <f t="array" ref="K41">_xlfn.IFS(Table1[[#This Row],[Exercise_Frequency(week)]]&lt;3, "Beginners (0–2 days)", Table1[[#This Row],[Exercise_Frequency(week)]]&lt;5, "Intermediate (3–4 days)", Table1[[#This Row],[Exercise_Frequency(week)]]&lt;8, "Advanced (5–7 days)")</f>
        <v>Beginners (0–2 days)</v>
      </c>
      <c r="L41" t="s">
        <v>17</v>
      </c>
      <c r="M41" s="2">
        <v>6</v>
      </c>
    </row>
    <row r="42" spans="1:13" x14ac:dyDescent="0.5">
      <c r="A42" t="s">
        <v>260</v>
      </c>
      <c r="B42" s="2">
        <v>18</v>
      </c>
      <c r="C42" s="2" t="str" cm="1">
        <f t="array" ref="C42">_xlfn.IFS(B42&lt;25, "Youth (16–24)", B42&lt;35, "Young Adults (25–34)", B42&lt;45, "Adults (35–44)", B42&lt;55, "Middle-aged (45–54)")</f>
        <v>Youth (16–24)</v>
      </c>
      <c r="D42" t="s">
        <v>16</v>
      </c>
      <c r="E42" s="1">
        <v>7.2</v>
      </c>
      <c r="F42" s="1" t="str" cm="1">
        <f t="array" ref="F42">_xlfn.IFS(E42&lt;3, "Low (0–3 hrs)", E42&lt;6, "Moderate (3–6 hrs)", E42&lt;8, "High (6–8 hrs)", E42&gt;=8, "Very High (8+ hrs)")</f>
        <v>High (6–8 hrs)</v>
      </c>
      <c r="G42" s="2">
        <v>4</v>
      </c>
      <c r="H42" s="2">
        <v>7</v>
      </c>
      <c r="I42" s="2">
        <v>3</v>
      </c>
      <c r="J42" s="2">
        <v>2</v>
      </c>
      <c r="K42" s="2" t="str" cm="1">
        <f t="array" ref="K42">_xlfn.IFS(Table1[[#This Row],[Exercise_Frequency(week)]]&lt;3, "Beginners (0–2 days)", Table1[[#This Row],[Exercise_Frequency(week)]]&lt;5, "Intermediate (3–4 days)", Table1[[#This Row],[Exercise_Frequency(week)]]&lt;8, "Advanced (5–7 days)")</f>
        <v>Beginners (0–2 days)</v>
      </c>
      <c r="L42" t="s">
        <v>19</v>
      </c>
      <c r="M42" s="2">
        <v>6</v>
      </c>
    </row>
    <row r="43" spans="1:13" x14ac:dyDescent="0.5">
      <c r="A43" t="s">
        <v>290</v>
      </c>
      <c r="B43" s="2">
        <v>38</v>
      </c>
      <c r="C43" s="2" t="str" cm="1">
        <f t="array" ref="C43">_xlfn.IFS(B43&lt;25, "Youth (16–24)", B43&lt;35, "Young Adults (25–34)", B43&lt;45, "Adults (35–44)", B43&lt;55, "Middle-aged (45–54)")</f>
        <v>Adults (35–44)</v>
      </c>
      <c r="D43" t="s">
        <v>16</v>
      </c>
      <c r="E43" s="1">
        <v>7</v>
      </c>
      <c r="F43" s="1" t="str" cm="1">
        <f t="array" ref="F43">_xlfn.IFS(E43&lt;3, "Low (0–3 hrs)", E43&lt;6, "Moderate (3–6 hrs)", E43&lt;8, "High (6–8 hrs)", E43&gt;=8, "Very High (8+ hrs)")</f>
        <v>High (6–8 hrs)</v>
      </c>
      <c r="G43" s="2">
        <v>4</v>
      </c>
      <c r="H43" s="2">
        <v>8</v>
      </c>
      <c r="I43" s="2">
        <v>3</v>
      </c>
      <c r="J43" s="2">
        <v>2</v>
      </c>
      <c r="K43" s="2" t="str" cm="1">
        <f t="array" ref="K43">_xlfn.IFS(Table1[[#This Row],[Exercise_Frequency(week)]]&lt;3, "Beginners (0–2 days)", Table1[[#This Row],[Exercise_Frequency(week)]]&lt;5, "Intermediate (3–4 days)", Table1[[#This Row],[Exercise_Frequency(week)]]&lt;8, "Advanced (5–7 days)")</f>
        <v>Beginners (0–2 days)</v>
      </c>
      <c r="L43" t="s">
        <v>23</v>
      </c>
      <c r="M43" s="2">
        <v>6</v>
      </c>
    </row>
    <row r="44" spans="1:13" x14ac:dyDescent="0.5">
      <c r="A44" t="s">
        <v>308</v>
      </c>
      <c r="B44" s="2">
        <v>34</v>
      </c>
      <c r="C44" s="2" t="str" cm="1">
        <f t="array" ref="C44">_xlfn.IFS(B44&lt;25, "Youth (16–24)", B44&lt;35, "Young Adults (25–34)", B44&lt;45, "Adults (35–44)", B44&lt;55, "Middle-aged (45–54)")</f>
        <v>Young Adults (25–34)</v>
      </c>
      <c r="D44" t="s">
        <v>11</v>
      </c>
      <c r="E44" s="1">
        <v>7.8</v>
      </c>
      <c r="F44" s="1" t="str" cm="1">
        <f t="array" ref="F44">_xlfn.IFS(E44&lt;3, "Low (0–3 hrs)", E44&lt;6, "Moderate (3–6 hrs)", E44&lt;8, "High (6–8 hrs)", E44&gt;=8, "Very High (8+ hrs)")</f>
        <v>High (6–8 hrs)</v>
      </c>
      <c r="G44" s="2">
        <v>5</v>
      </c>
      <c r="H44" s="2">
        <v>9</v>
      </c>
      <c r="I44" s="2">
        <v>2</v>
      </c>
      <c r="J44" s="2">
        <v>2</v>
      </c>
      <c r="K44" s="2" t="str" cm="1">
        <f t="array" ref="K44">_xlfn.IFS(Table1[[#This Row],[Exercise_Frequency(week)]]&lt;3, "Beginners (0–2 days)", Table1[[#This Row],[Exercise_Frequency(week)]]&lt;5, "Intermediate (3–4 days)", Table1[[#This Row],[Exercise_Frequency(week)]]&lt;8, "Advanced (5–7 days)")</f>
        <v>Beginners (0–2 days)</v>
      </c>
      <c r="L44" t="s">
        <v>14</v>
      </c>
      <c r="M44" s="2">
        <v>6</v>
      </c>
    </row>
    <row r="45" spans="1:13" x14ac:dyDescent="0.5">
      <c r="A45" t="s">
        <v>332</v>
      </c>
      <c r="B45" s="2">
        <v>20</v>
      </c>
      <c r="C45" s="2" t="str" cm="1">
        <f t="array" ref="C45">_xlfn.IFS(B45&lt;25, "Youth (16–24)", B45&lt;35, "Young Adults (25–34)", B45&lt;45, "Adults (35–44)", B45&lt;55, "Middle-aged (45–54)")</f>
        <v>Youth (16–24)</v>
      </c>
      <c r="D45" t="s">
        <v>11</v>
      </c>
      <c r="E45" s="1">
        <v>7.4</v>
      </c>
      <c r="F45" s="1" t="str" cm="1">
        <f t="array" ref="F45">_xlfn.IFS(E45&lt;3, "Low (0–3 hrs)", E45&lt;6, "Moderate (3–6 hrs)", E45&lt;8, "High (6–8 hrs)", E45&gt;=8, "Very High (8+ hrs)")</f>
        <v>High (6–8 hrs)</v>
      </c>
      <c r="G45" s="2">
        <v>4</v>
      </c>
      <c r="H45" s="2">
        <v>9</v>
      </c>
      <c r="I45" s="2">
        <v>4</v>
      </c>
      <c r="J45" s="2">
        <v>2</v>
      </c>
      <c r="K45" s="2" t="str" cm="1">
        <f t="array" ref="K45">_xlfn.IFS(Table1[[#This Row],[Exercise_Frequency(week)]]&lt;3, "Beginners (0–2 days)", Table1[[#This Row],[Exercise_Frequency(week)]]&lt;5, "Intermediate (3–4 days)", Table1[[#This Row],[Exercise_Frequency(week)]]&lt;8, "Advanced (5–7 days)")</f>
        <v>Beginners (0–2 days)</v>
      </c>
      <c r="L45" t="s">
        <v>23</v>
      </c>
      <c r="M45" s="2">
        <v>6</v>
      </c>
    </row>
    <row r="46" spans="1:13" x14ac:dyDescent="0.5">
      <c r="A46" t="s">
        <v>351</v>
      </c>
      <c r="B46" s="2">
        <v>31</v>
      </c>
      <c r="C46" s="2" t="str" cm="1">
        <f t="array" ref="C46">_xlfn.IFS(B46&lt;25, "Youth (16–24)", B46&lt;35, "Young Adults (25–34)", B46&lt;45, "Adults (35–44)", B46&lt;55, "Middle-aged (45–54)")</f>
        <v>Young Adults (25–34)</v>
      </c>
      <c r="D46" t="s">
        <v>11</v>
      </c>
      <c r="E46" s="1">
        <v>8.1</v>
      </c>
      <c r="F46" s="1" t="str" cm="1">
        <f t="array" ref="F46">_xlfn.IFS(E46&lt;3, "Low (0–3 hrs)", E46&lt;6, "Moderate (3–6 hrs)", E46&lt;8, "High (6–8 hrs)", E46&gt;=8, "Very High (8+ hrs)")</f>
        <v>Very High (8+ hrs)</v>
      </c>
      <c r="G46" s="2">
        <v>5</v>
      </c>
      <c r="H46" s="2">
        <v>9</v>
      </c>
      <c r="I46" s="2">
        <v>2</v>
      </c>
      <c r="J46" s="2">
        <v>2</v>
      </c>
      <c r="K46" s="2" t="str" cm="1">
        <f t="array" ref="K46">_xlfn.IFS(Table1[[#This Row],[Exercise_Frequency(week)]]&lt;3, "Beginners (0–2 days)", Table1[[#This Row],[Exercise_Frequency(week)]]&lt;5, "Intermediate (3–4 days)", Table1[[#This Row],[Exercise_Frequency(week)]]&lt;8, "Advanced (5–7 days)")</f>
        <v>Beginners (0–2 days)</v>
      </c>
      <c r="L46" t="s">
        <v>23</v>
      </c>
      <c r="M46" s="2">
        <v>6</v>
      </c>
    </row>
    <row r="47" spans="1:13" x14ac:dyDescent="0.5">
      <c r="A47" t="s">
        <v>385</v>
      </c>
      <c r="B47" s="2">
        <v>40</v>
      </c>
      <c r="C47" s="2" t="str" cm="1">
        <f t="array" ref="C47">_xlfn.IFS(B47&lt;25, "Youth (16–24)", B47&lt;35, "Young Adults (25–34)", B47&lt;45, "Adults (35–44)", B47&lt;55, "Middle-aged (45–54)")</f>
        <v>Adults (35–44)</v>
      </c>
      <c r="D47" t="s">
        <v>11</v>
      </c>
      <c r="E47" s="1">
        <v>9.6999999999999993</v>
      </c>
      <c r="F47" s="1" t="str" cm="1">
        <f t="array" ref="F47">_xlfn.IFS(E47&lt;3, "Low (0–3 hrs)", E47&lt;6, "Moderate (3–6 hrs)", E47&lt;8, "High (6–8 hrs)", E47&gt;=8, "Very High (8+ hrs)")</f>
        <v>Very High (8+ hrs)</v>
      </c>
      <c r="G47" s="2">
        <v>4</v>
      </c>
      <c r="H47" s="2">
        <v>10</v>
      </c>
      <c r="I47" s="2">
        <v>2</v>
      </c>
      <c r="J47" s="2">
        <v>2</v>
      </c>
      <c r="K47" s="2" t="str" cm="1">
        <f t="array" ref="K47">_xlfn.IFS(Table1[[#This Row],[Exercise_Frequency(week)]]&lt;3, "Beginners (0–2 days)", Table1[[#This Row],[Exercise_Frequency(week)]]&lt;5, "Intermediate (3–4 days)", Table1[[#This Row],[Exercise_Frequency(week)]]&lt;8, "Advanced (5–7 days)")</f>
        <v>Beginners (0–2 days)</v>
      </c>
      <c r="L47" t="s">
        <v>17</v>
      </c>
      <c r="M47" s="2">
        <v>6</v>
      </c>
    </row>
    <row r="48" spans="1:13" x14ac:dyDescent="0.5">
      <c r="A48" t="s">
        <v>454</v>
      </c>
      <c r="B48" s="2">
        <v>28</v>
      </c>
      <c r="C48" s="2" t="str" cm="1">
        <f t="array" ref="C48">_xlfn.IFS(B48&lt;25, "Youth (16–24)", B48&lt;35, "Young Adults (25–34)", B48&lt;45, "Adults (35–44)", B48&lt;55, "Middle-aged (45–54)")</f>
        <v>Young Adults (25–34)</v>
      </c>
      <c r="D48" t="s">
        <v>16</v>
      </c>
      <c r="E48" s="1">
        <v>7.5</v>
      </c>
      <c r="F48" s="1" t="str" cm="1">
        <f t="array" ref="F48">_xlfn.IFS(E48&lt;3, "Low (0–3 hrs)", E48&lt;6, "Moderate (3–6 hrs)", E48&lt;8, "High (6–8 hrs)", E48&gt;=8, "Very High (8+ hrs)")</f>
        <v>High (6–8 hrs)</v>
      </c>
      <c r="G48" s="2">
        <v>6</v>
      </c>
      <c r="H48" s="2">
        <v>8</v>
      </c>
      <c r="I48" s="2">
        <v>3</v>
      </c>
      <c r="J48" s="2">
        <v>2</v>
      </c>
      <c r="K48" s="2" t="str" cm="1">
        <f t="array" ref="K48">_xlfn.IFS(Table1[[#This Row],[Exercise_Frequency(week)]]&lt;3, "Beginners (0–2 days)", Table1[[#This Row],[Exercise_Frequency(week)]]&lt;5, "Intermediate (3–4 days)", Table1[[#This Row],[Exercise_Frequency(week)]]&lt;8, "Advanced (5–7 days)")</f>
        <v>Beginners (0–2 days)</v>
      </c>
      <c r="L48" t="s">
        <v>12</v>
      </c>
      <c r="M48" s="2">
        <v>6</v>
      </c>
    </row>
    <row r="49" spans="1:13" x14ac:dyDescent="0.5">
      <c r="A49" t="s">
        <v>176</v>
      </c>
      <c r="B49" s="2">
        <v>18</v>
      </c>
      <c r="C49" s="2" t="str" cm="1">
        <f t="array" ref="C49">_xlfn.IFS(B49&lt;25, "Youth (16–24)", B49&lt;35, "Young Adults (25–34)", B49&lt;45, "Adults (35–44)", B49&lt;55, "Middle-aged (45–54)")</f>
        <v>Youth (16–24)</v>
      </c>
      <c r="D49" t="s">
        <v>11</v>
      </c>
      <c r="E49" s="1">
        <v>5.6</v>
      </c>
      <c r="F49" s="1" t="str" cm="1">
        <f t="array" ref="F49">_xlfn.IFS(E49&lt;3, "Low (0–3 hrs)", E49&lt;6, "Moderate (3–6 hrs)", E49&lt;8, "High (6–8 hrs)", E49&gt;=8, "Very High (8+ hrs)")</f>
        <v>Moderate (3–6 hrs)</v>
      </c>
      <c r="G49" s="2">
        <v>5</v>
      </c>
      <c r="H49" s="2">
        <v>7</v>
      </c>
      <c r="I49" s="2">
        <v>3</v>
      </c>
      <c r="J49" s="2">
        <v>1</v>
      </c>
      <c r="K49" s="2" t="str" cm="1">
        <f t="array" ref="K49">_xlfn.IFS(Table1[[#This Row],[Exercise_Frequency(week)]]&lt;3, "Beginners (0–2 days)", Table1[[#This Row],[Exercise_Frequency(week)]]&lt;5, "Intermediate (3–4 days)", Table1[[#This Row],[Exercise_Frequency(week)]]&lt;8, "Advanced (5–7 days)")</f>
        <v>Beginners (0–2 days)</v>
      </c>
      <c r="L49" t="s">
        <v>19</v>
      </c>
      <c r="M49" s="2">
        <v>6</v>
      </c>
    </row>
    <row r="50" spans="1:13" x14ac:dyDescent="0.5">
      <c r="A50" t="s">
        <v>201</v>
      </c>
      <c r="B50" s="2">
        <v>34</v>
      </c>
      <c r="C50" s="2" t="str" cm="1">
        <f t="array" ref="C50">_xlfn.IFS(B50&lt;25, "Youth (16–24)", B50&lt;35, "Young Adults (25–34)", B50&lt;45, "Adults (35–44)", B50&lt;55, "Middle-aged (45–54)")</f>
        <v>Young Adults (25–34)</v>
      </c>
      <c r="D50" t="s">
        <v>11</v>
      </c>
      <c r="E50" s="1">
        <v>7.3</v>
      </c>
      <c r="F50" s="1" t="str" cm="1">
        <f t="array" ref="F50">_xlfn.IFS(E50&lt;3, "Low (0–3 hrs)", E50&lt;6, "Moderate (3–6 hrs)", E50&lt;8, "High (6–8 hrs)", E50&gt;=8, "Very High (8+ hrs)")</f>
        <v>High (6–8 hrs)</v>
      </c>
      <c r="G50" s="2">
        <v>5</v>
      </c>
      <c r="H50" s="2">
        <v>7</v>
      </c>
      <c r="I50" s="2">
        <v>1</v>
      </c>
      <c r="J50" s="2">
        <v>1</v>
      </c>
      <c r="K50" s="2" t="str" cm="1">
        <f t="array" ref="K50">_xlfn.IFS(Table1[[#This Row],[Exercise_Frequency(week)]]&lt;3, "Beginners (0–2 days)", Table1[[#This Row],[Exercise_Frequency(week)]]&lt;5, "Intermediate (3–4 days)", Table1[[#This Row],[Exercise_Frequency(week)]]&lt;8, "Advanced (5–7 days)")</f>
        <v>Beginners (0–2 days)</v>
      </c>
      <c r="L50" t="s">
        <v>14</v>
      </c>
      <c r="M50" s="2">
        <v>6</v>
      </c>
    </row>
    <row r="51" spans="1:13" x14ac:dyDescent="0.5">
      <c r="A51" t="s">
        <v>232</v>
      </c>
      <c r="B51" s="2">
        <v>42</v>
      </c>
      <c r="C51" s="2" t="str" cm="1">
        <f t="array" ref="C51">_xlfn.IFS(B51&lt;25, "Youth (16–24)", B51&lt;35, "Young Adults (25–34)", B51&lt;45, "Adults (35–44)", B51&lt;55, "Middle-aged (45–54)")</f>
        <v>Adults (35–44)</v>
      </c>
      <c r="D51" t="s">
        <v>16</v>
      </c>
      <c r="E51" s="1">
        <v>8.8000000000000007</v>
      </c>
      <c r="F51" s="1" t="str" cm="1">
        <f t="array" ref="F51">_xlfn.IFS(E51&lt;3, "Low (0–3 hrs)", E51&lt;6, "Moderate (3–6 hrs)", E51&lt;8, "High (6–8 hrs)", E51&gt;=8, "Very High (8+ hrs)")</f>
        <v>Very High (8+ hrs)</v>
      </c>
      <c r="G51" s="2">
        <v>4</v>
      </c>
      <c r="H51" s="2">
        <v>8</v>
      </c>
      <c r="I51" s="2">
        <v>1</v>
      </c>
      <c r="J51" s="2">
        <v>1</v>
      </c>
      <c r="K51" s="2" t="str" cm="1">
        <f t="array" ref="K51">_xlfn.IFS(Table1[[#This Row],[Exercise_Frequency(week)]]&lt;3, "Beginners (0–2 days)", Table1[[#This Row],[Exercise_Frequency(week)]]&lt;5, "Intermediate (3–4 days)", Table1[[#This Row],[Exercise_Frequency(week)]]&lt;8, "Advanced (5–7 days)")</f>
        <v>Beginners (0–2 days)</v>
      </c>
      <c r="L51" t="s">
        <v>13</v>
      </c>
      <c r="M51" s="2">
        <v>6</v>
      </c>
    </row>
    <row r="52" spans="1:13" x14ac:dyDescent="0.5">
      <c r="A52" t="s">
        <v>249</v>
      </c>
      <c r="B52" s="2">
        <v>44</v>
      </c>
      <c r="C52" s="2" t="str" cm="1">
        <f t="array" ref="C52">_xlfn.IFS(B52&lt;25, "Youth (16–24)", B52&lt;35, "Young Adults (25–34)", B52&lt;45, "Adults (35–44)", B52&lt;55, "Middle-aged (45–54)")</f>
        <v>Adults (35–44)</v>
      </c>
      <c r="D52" t="s">
        <v>11</v>
      </c>
      <c r="E52" s="1">
        <v>7.5</v>
      </c>
      <c r="F52" s="1" t="str" cm="1">
        <f t="array" ref="F52">_xlfn.IFS(E52&lt;3, "Low (0–3 hrs)", E52&lt;6, "Moderate (3–6 hrs)", E52&lt;8, "High (6–8 hrs)", E52&gt;=8, "Very High (8+ hrs)")</f>
        <v>High (6–8 hrs)</v>
      </c>
      <c r="G52" s="2">
        <v>6</v>
      </c>
      <c r="H52" s="2">
        <v>9</v>
      </c>
      <c r="I52" s="2">
        <v>2</v>
      </c>
      <c r="J52" s="2">
        <v>1</v>
      </c>
      <c r="K52" s="2" t="str" cm="1">
        <f t="array" ref="K52">_xlfn.IFS(Table1[[#This Row],[Exercise_Frequency(week)]]&lt;3, "Beginners (0–2 days)", Table1[[#This Row],[Exercise_Frequency(week)]]&lt;5, "Intermediate (3–4 days)", Table1[[#This Row],[Exercise_Frequency(week)]]&lt;8, "Advanced (5–7 days)")</f>
        <v>Beginners (0–2 days)</v>
      </c>
      <c r="L52" t="s">
        <v>17</v>
      </c>
      <c r="M52" s="2">
        <v>6</v>
      </c>
    </row>
    <row r="53" spans="1:13" x14ac:dyDescent="0.5">
      <c r="A53" t="s">
        <v>270</v>
      </c>
      <c r="B53" s="2">
        <v>48</v>
      </c>
      <c r="C53" s="2" t="str" cm="1">
        <f t="array" ref="C53">_xlfn.IFS(B53&lt;25, "Youth (16–24)", B53&lt;35, "Young Adults (25–34)", B53&lt;45, "Adults (35–44)", B53&lt;55, "Middle-aged (45–54)")</f>
        <v>Middle-aged (45–54)</v>
      </c>
      <c r="D53" t="s">
        <v>16</v>
      </c>
      <c r="E53" s="1">
        <v>6.9</v>
      </c>
      <c r="F53" s="1" t="str" cm="1">
        <f t="array" ref="F53">_xlfn.IFS(E53&lt;3, "Low (0–3 hrs)", E53&lt;6, "Moderate (3–6 hrs)", E53&lt;8, "High (6–8 hrs)", E53&gt;=8, "Very High (8+ hrs)")</f>
        <v>High (6–8 hrs)</v>
      </c>
      <c r="G53" s="2">
        <v>5</v>
      </c>
      <c r="H53" s="2">
        <v>9</v>
      </c>
      <c r="I53" s="2">
        <v>4</v>
      </c>
      <c r="J53" s="2">
        <v>1</v>
      </c>
      <c r="K53" s="2" t="str" cm="1">
        <f t="array" ref="K53">_xlfn.IFS(Table1[[#This Row],[Exercise_Frequency(week)]]&lt;3, "Beginners (0–2 days)", Table1[[#This Row],[Exercise_Frequency(week)]]&lt;5, "Intermediate (3–4 days)", Table1[[#This Row],[Exercise_Frequency(week)]]&lt;8, "Advanced (5–7 days)")</f>
        <v>Beginners (0–2 days)</v>
      </c>
      <c r="L53" t="s">
        <v>12</v>
      </c>
      <c r="M53" s="2">
        <v>6</v>
      </c>
    </row>
    <row r="54" spans="1:13" x14ac:dyDescent="0.5">
      <c r="A54" t="s">
        <v>374</v>
      </c>
      <c r="B54" s="2">
        <v>41</v>
      </c>
      <c r="C54" s="2" t="str" cm="1">
        <f t="array" ref="C54">_xlfn.IFS(B54&lt;25, "Youth (16–24)", B54&lt;35, "Young Adults (25–34)", B54&lt;45, "Adults (35–44)", B54&lt;55, "Middle-aged (45–54)")</f>
        <v>Adults (35–44)</v>
      </c>
      <c r="D54" t="s">
        <v>11</v>
      </c>
      <c r="E54" s="1">
        <v>8.3000000000000007</v>
      </c>
      <c r="F54" s="1" t="str" cm="1">
        <f t="array" ref="F54">_xlfn.IFS(E54&lt;3, "Low (0–3 hrs)", E54&lt;6, "Moderate (3–6 hrs)", E54&lt;8, "High (6–8 hrs)", E54&gt;=8, "Very High (8+ hrs)")</f>
        <v>Very High (8+ hrs)</v>
      </c>
      <c r="G54" s="2">
        <v>4</v>
      </c>
      <c r="H54" s="2">
        <v>10</v>
      </c>
      <c r="I54" s="2">
        <v>3</v>
      </c>
      <c r="J54" s="2">
        <v>1</v>
      </c>
      <c r="K54" s="2" t="str" cm="1">
        <f t="array" ref="K54">_xlfn.IFS(Table1[[#This Row],[Exercise_Frequency(week)]]&lt;3, "Beginners (0–2 days)", Table1[[#This Row],[Exercise_Frequency(week)]]&lt;5, "Intermediate (3–4 days)", Table1[[#This Row],[Exercise_Frequency(week)]]&lt;8, "Advanced (5–7 days)")</f>
        <v>Beginners (0–2 days)</v>
      </c>
      <c r="L54" t="s">
        <v>19</v>
      </c>
      <c r="M54" s="2">
        <v>6</v>
      </c>
    </row>
    <row r="55" spans="1:13" x14ac:dyDescent="0.5">
      <c r="A55" t="s">
        <v>402</v>
      </c>
      <c r="B55" s="2">
        <v>40</v>
      </c>
      <c r="C55" s="2" t="str" cm="1">
        <f t="array" ref="C55">_xlfn.IFS(B55&lt;25, "Youth (16–24)", B55&lt;35, "Young Adults (25–34)", B55&lt;45, "Adults (35–44)", B55&lt;55, "Middle-aged (45–54)")</f>
        <v>Adults (35–44)</v>
      </c>
      <c r="D55" t="s">
        <v>11</v>
      </c>
      <c r="E55" s="1">
        <v>6.9</v>
      </c>
      <c r="F55" s="1" t="str" cm="1">
        <f t="array" ref="F55">_xlfn.IFS(E55&lt;3, "Low (0–3 hrs)", E55&lt;6, "Moderate (3–6 hrs)", E55&lt;8, "High (6–8 hrs)", E55&gt;=8, "Very High (8+ hrs)")</f>
        <v>High (6–8 hrs)</v>
      </c>
      <c r="G55" s="2">
        <v>3</v>
      </c>
      <c r="H55" s="2">
        <v>8</v>
      </c>
      <c r="I55" s="2">
        <v>7</v>
      </c>
      <c r="J55" s="2">
        <v>1</v>
      </c>
      <c r="K55" s="2" t="str" cm="1">
        <f t="array" ref="K55">_xlfn.IFS(Table1[[#This Row],[Exercise_Frequency(week)]]&lt;3, "Beginners (0–2 days)", Table1[[#This Row],[Exercise_Frequency(week)]]&lt;5, "Intermediate (3–4 days)", Table1[[#This Row],[Exercise_Frequency(week)]]&lt;8, "Advanced (5–7 days)")</f>
        <v>Beginners (0–2 days)</v>
      </c>
      <c r="L55" t="s">
        <v>12</v>
      </c>
      <c r="M55" s="2">
        <v>6</v>
      </c>
    </row>
    <row r="56" spans="1:13" x14ac:dyDescent="0.5">
      <c r="A56" t="s">
        <v>447</v>
      </c>
      <c r="B56" s="2">
        <v>46</v>
      </c>
      <c r="C56" s="2" t="str" cm="1">
        <f t="array" ref="C56">_xlfn.IFS(B56&lt;25, "Youth (16–24)", B56&lt;35, "Young Adults (25–34)", B56&lt;45, "Adults (35–44)", B56&lt;55, "Middle-aged (45–54)")</f>
        <v>Middle-aged (45–54)</v>
      </c>
      <c r="D56" t="s">
        <v>16</v>
      </c>
      <c r="E56" s="1">
        <v>6.1</v>
      </c>
      <c r="F56" s="1" t="str" cm="1">
        <f t="array" ref="F56">_xlfn.IFS(E56&lt;3, "Low (0–3 hrs)", E56&lt;6, "Moderate (3–6 hrs)", E56&lt;8, "High (6–8 hrs)", E56&gt;=8, "Very High (8+ hrs)")</f>
        <v>High (6–8 hrs)</v>
      </c>
      <c r="G56" s="2">
        <v>6</v>
      </c>
      <c r="H56" s="2">
        <v>8</v>
      </c>
      <c r="I56" s="2">
        <v>0</v>
      </c>
      <c r="J56" s="2">
        <v>1</v>
      </c>
      <c r="K56" s="2" t="str" cm="1">
        <f t="array" ref="K56">_xlfn.IFS(Table1[[#This Row],[Exercise_Frequency(week)]]&lt;3, "Beginners (0–2 days)", Table1[[#This Row],[Exercise_Frequency(week)]]&lt;5, "Intermediate (3–4 days)", Table1[[#This Row],[Exercise_Frequency(week)]]&lt;8, "Advanced (5–7 days)")</f>
        <v>Beginners (0–2 days)</v>
      </c>
      <c r="L56" t="s">
        <v>19</v>
      </c>
      <c r="M56" s="2">
        <v>6</v>
      </c>
    </row>
    <row r="57" spans="1:13" x14ac:dyDescent="0.5">
      <c r="A57" t="s">
        <v>470</v>
      </c>
      <c r="B57" s="2">
        <v>26</v>
      </c>
      <c r="C57" s="2" t="str" cm="1">
        <f t="array" ref="C57">_xlfn.IFS(B57&lt;25, "Youth (16–24)", B57&lt;35, "Young Adults (25–34)", B57&lt;45, "Adults (35–44)", B57&lt;55, "Middle-aged (45–54)")</f>
        <v>Young Adults (25–34)</v>
      </c>
      <c r="D57" t="s">
        <v>16</v>
      </c>
      <c r="E57" s="1">
        <v>9.3000000000000007</v>
      </c>
      <c r="F57" s="1" t="str" cm="1">
        <f t="array" ref="F57">_xlfn.IFS(E57&lt;3, "Low (0–3 hrs)", E57&lt;6, "Moderate (3–6 hrs)", E57&lt;8, "High (6–8 hrs)", E57&gt;=8, "Very High (8+ hrs)")</f>
        <v>Very High (8+ hrs)</v>
      </c>
      <c r="G57" s="2">
        <v>3</v>
      </c>
      <c r="H57" s="2">
        <v>8</v>
      </c>
      <c r="I57" s="2">
        <v>2</v>
      </c>
      <c r="J57" s="2">
        <v>1</v>
      </c>
      <c r="K57" s="2" t="str" cm="1">
        <f t="array" ref="K57">_xlfn.IFS(Table1[[#This Row],[Exercise_Frequency(week)]]&lt;3, "Beginners (0–2 days)", Table1[[#This Row],[Exercise_Frequency(week)]]&lt;5, "Intermediate (3–4 days)", Table1[[#This Row],[Exercise_Frequency(week)]]&lt;8, "Advanced (5–7 days)")</f>
        <v>Beginners (0–2 days)</v>
      </c>
      <c r="L57" t="s">
        <v>12</v>
      </c>
      <c r="M57" s="2">
        <v>6</v>
      </c>
    </row>
    <row r="58" spans="1:13" x14ac:dyDescent="0.5">
      <c r="A58" t="s">
        <v>39</v>
      </c>
      <c r="B58" s="2">
        <v>22</v>
      </c>
      <c r="C58" s="2" t="str" cm="1">
        <f t="array" ref="C58">_xlfn.IFS(B58&lt;25, "Youth (16–24)", B58&lt;35, "Young Adults (25–34)", B58&lt;45, "Adults (35–44)", B58&lt;55, "Middle-aged (45–54)")</f>
        <v>Youth (16–24)</v>
      </c>
      <c r="D58" t="s">
        <v>16</v>
      </c>
      <c r="E58" s="1">
        <v>6.2</v>
      </c>
      <c r="F58" s="1" t="str" cm="1">
        <f t="array" ref="F58">_xlfn.IFS(E58&lt;3, "Low (0–3 hrs)", E58&lt;6, "Moderate (3–6 hrs)", E58&lt;8, "High (6–8 hrs)", E58&gt;=8, "Very High (8+ hrs)")</f>
        <v>High (6–8 hrs)</v>
      </c>
      <c r="G58" s="2">
        <v>5</v>
      </c>
      <c r="H58" s="2">
        <v>8</v>
      </c>
      <c r="I58" s="2">
        <v>5</v>
      </c>
      <c r="J58" s="2">
        <v>0</v>
      </c>
      <c r="K58" s="2" t="str" cm="1">
        <f t="array" ref="K58">_xlfn.IFS(Table1[[#This Row],[Exercise_Frequency(week)]]&lt;3, "Beginners (0–2 days)", Table1[[#This Row],[Exercise_Frequency(week)]]&lt;5, "Intermediate (3–4 days)", Table1[[#This Row],[Exercise_Frequency(week)]]&lt;8, "Advanced (5–7 days)")</f>
        <v>Beginners (0–2 days)</v>
      </c>
      <c r="L58" t="s">
        <v>19</v>
      </c>
      <c r="M58" s="2">
        <v>6</v>
      </c>
    </row>
    <row r="59" spans="1:13" x14ac:dyDescent="0.5">
      <c r="A59" t="s">
        <v>157</v>
      </c>
      <c r="B59" s="2">
        <v>17</v>
      </c>
      <c r="C59" s="2" t="str" cm="1">
        <f t="array" ref="C59">_xlfn.IFS(B59&lt;25, "Youth (16–24)", B59&lt;35, "Young Adults (25–34)", B59&lt;45, "Adults (35–44)", B59&lt;55, "Middle-aged (45–54)")</f>
        <v>Youth (16–24)</v>
      </c>
      <c r="D59" t="s">
        <v>16</v>
      </c>
      <c r="E59" s="1">
        <v>6.8</v>
      </c>
      <c r="F59" s="1" t="str" cm="1">
        <f t="array" ref="F59">_xlfn.IFS(E59&lt;3, "Low (0–3 hrs)", E59&lt;6, "Moderate (3–6 hrs)", E59&lt;8, "High (6–8 hrs)", E59&gt;=8, "Very High (8+ hrs)")</f>
        <v>High (6–8 hrs)</v>
      </c>
      <c r="G59" s="2">
        <v>5</v>
      </c>
      <c r="H59" s="2">
        <v>8</v>
      </c>
      <c r="I59" s="2">
        <v>6</v>
      </c>
      <c r="J59" s="2">
        <v>0</v>
      </c>
      <c r="K59" s="2" t="str" cm="1">
        <f t="array" ref="K59">_xlfn.IFS(Table1[[#This Row],[Exercise_Frequency(week)]]&lt;3, "Beginners (0–2 days)", Table1[[#This Row],[Exercise_Frequency(week)]]&lt;5, "Intermediate (3–4 days)", Table1[[#This Row],[Exercise_Frequency(week)]]&lt;8, "Advanced (5–7 days)")</f>
        <v>Beginners (0–2 days)</v>
      </c>
      <c r="L59" t="s">
        <v>19</v>
      </c>
      <c r="M59" s="2">
        <v>6</v>
      </c>
    </row>
    <row r="60" spans="1:13" x14ac:dyDescent="0.5">
      <c r="A60" t="s">
        <v>215</v>
      </c>
      <c r="B60" s="2">
        <v>17</v>
      </c>
      <c r="C60" s="2" t="str" cm="1">
        <f t="array" ref="C60">_xlfn.IFS(B60&lt;25, "Youth (16–24)", B60&lt;35, "Young Adults (25–34)", B60&lt;45, "Adults (35–44)", B60&lt;55, "Middle-aged (45–54)")</f>
        <v>Youth (16–24)</v>
      </c>
      <c r="D60" t="s">
        <v>16</v>
      </c>
      <c r="E60" s="1">
        <v>9.8000000000000007</v>
      </c>
      <c r="F60" s="1" t="str" cm="1">
        <f t="array" ref="F60">_xlfn.IFS(E60&lt;3, "Low (0–3 hrs)", E60&lt;6, "Moderate (3–6 hrs)", E60&lt;8, "High (6–8 hrs)", E60&gt;=8, "Very High (8+ hrs)")</f>
        <v>Very High (8+ hrs)</v>
      </c>
      <c r="G60" s="2">
        <v>4</v>
      </c>
      <c r="H60" s="2">
        <v>9</v>
      </c>
      <c r="I60" s="2">
        <v>5</v>
      </c>
      <c r="J60" s="2">
        <v>0</v>
      </c>
      <c r="K60" s="2" t="str" cm="1">
        <f t="array" ref="K60">_xlfn.IFS(Table1[[#This Row],[Exercise_Frequency(week)]]&lt;3, "Beginners (0–2 days)", Table1[[#This Row],[Exercise_Frequency(week)]]&lt;5, "Intermediate (3–4 days)", Table1[[#This Row],[Exercise_Frequency(week)]]&lt;8, "Advanced (5–7 days)")</f>
        <v>Beginners (0–2 days)</v>
      </c>
      <c r="L60" t="s">
        <v>13</v>
      </c>
      <c r="M60" s="2">
        <v>6</v>
      </c>
    </row>
    <row r="61" spans="1:13" x14ac:dyDescent="0.5">
      <c r="A61" t="s">
        <v>401</v>
      </c>
      <c r="B61" s="2">
        <v>35</v>
      </c>
      <c r="C61" s="2" t="str" cm="1">
        <f t="array" ref="C61">_xlfn.IFS(B61&lt;25, "Youth (16–24)", B61&lt;35, "Young Adults (25–34)", B61&lt;45, "Adults (35–44)", B61&lt;55, "Middle-aged (45–54)")</f>
        <v>Adults (35–44)</v>
      </c>
      <c r="D61" t="s">
        <v>11</v>
      </c>
      <c r="E61" s="1">
        <v>8.1999999999999993</v>
      </c>
      <c r="F61" s="1" t="str" cm="1">
        <f t="array" ref="F61">_xlfn.IFS(E61&lt;3, "Low (0–3 hrs)", E61&lt;6, "Moderate (3–6 hrs)", E61&lt;8, "High (6–8 hrs)", E61&gt;=8, "Very High (8+ hrs)")</f>
        <v>Very High (8+ hrs)</v>
      </c>
      <c r="G61" s="2">
        <v>4</v>
      </c>
      <c r="H61" s="2">
        <v>9</v>
      </c>
      <c r="I61" s="2">
        <v>5</v>
      </c>
      <c r="J61" s="2">
        <v>0</v>
      </c>
      <c r="K61" s="2" t="str" cm="1">
        <f t="array" ref="K61">_xlfn.IFS(Table1[[#This Row],[Exercise_Frequency(week)]]&lt;3, "Beginners (0–2 days)", Table1[[#This Row],[Exercise_Frequency(week)]]&lt;5, "Intermediate (3–4 days)", Table1[[#This Row],[Exercise_Frequency(week)]]&lt;8, "Advanced (5–7 days)")</f>
        <v>Beginners (0–2 days)</v>
      </c>
      <c r="L61" t="s">
        <v>19</v>
      </c>
      <c r="M61" s="2">
        <v>6</v>
      </c>
    </row>
    <row r="62" spans="1:13" x14ac:dyDescent="0.5">
      <c r="A62" t="s">
        <v>400</v>
      </c>
      <c r="B62" s="2">
        <v>32</v>
      </c>
      <c r="C62" s="2" t="str" cm="1">
        <f t="array" ref="C62">_xlfn.IFS(B62&lt;25, "Youth (16–24)", B62&lt;35, "Young Adults (25–34)", B62&lt;45, "Adults (35–44)", B62&lt;55, "Middle-aged (45–54)")</f>
        <v>Young Adults (25–34)</v>
      </c>
      <c r="D62" t="s">
        <v>11</v>
      </c>
      <c r="E62" s="1">
        <v>6.2</v>
      </c>
      <c r="F62" s="1" t="str" cm="1">
        <f t="array" ref="F62">_xlfn.IFS(E62&lt;3, "Low (0–3 hrs)", E62&lt;6, "Moderate (3–6 hrs)", E62&lt;8, "High (6–8 hrs)", E62&gt;=8, "Very High (8+ hrs)")</f>
        <v>High (6–8 hrs)</v>
      </c>
      <c r="G62" s="2">
        <v>6</v>
      </c>
      <c r="H62" s="2">
        <v>8</v>
      </c>
      <c r="I62" s="2">
        <v>4</v>
      </c>
      <c r="J62" s="2">
        <v>5</v>
      </c>
      <c r="K62" s="2" t="str" cm="1">
        <f t="array" ref="K62">_xlfn.IFS(Table1[[#This Row],[Exercise_Frequency(week)]]&lt;3, "Beginners (0–2 days)", Table1[[#This Row],[Exercise_Frequency(week)]]&lt;5, "Intermediate (3–4 days)", Table1[[#This Row],[Exercise_Frequency(week)]]&lt;8, "Advanced (5–7 days)")</f>
        <v>Advanced (5–7 days)</v>
      </c>
      <c r="L62" t="s">
        <v>14</v>
      </c>
      <c r="M62" s="2">
        <v>7</v>
      </c>
    </row>
    <row r="63" spans="1:13" x14ac:dyDescent="0.5">
      <c r="A63" t="s">
        <v>439</v>
      </c>
      <c r="B63" s="2">
        <v>23</v>
      </c>
      <c r="C63" s="2" t="str" cm="1">
        <f t="array" ref="C63">_xlfn.IFS(B63&lt;25, "Youth (16–24)", B63&lt;35, "Young Adults (25–34)", B63&lt;45, "Adults (35–44)", B63&lt;55, "Middle-aged (45–54)")</f>
        <v>Youth (16–24)</v>
      </c>
      <c r="D63" t="s">
        <v>16</v>
      </c>
      <c r="E63" s="1">
        <v>4.9000000000000004</v>
      </c>
      <c r="F63" s="1" t="str" cm="1">
        <f t="array" ref="F63">_xlfn.IFS(E63&lt;3, "Low (0–3 hrs)", E63&lt;6, "Moderate (3–6 hrs)", E63&lt;8, "High (6–8 hrs)", E63&gt;=8, "Very High (8+ hrs)")</f>
        <v>Moderate (3–6 hrs)</v>
      </c>
      <c r="G63" s="2">
        <v>7</v>
      </c>
      <c r="H63" s="2">
        <v>7</v>
      </c>
      <c r="I63" s="2">
        <v>4</v>
      </c>
      <c r="J63" s="2">
        <v>5</v>
      </c>
      <c r="K63" s="2" t="str" cm="1">
        <f t="array" ref="K63">_xlfn.IFS(Table1[[#This Row],[Exercise_Frequency(week)]]&lt;3, "Beginners (0–2 days)", Table1[[#This Row],[Exercise_Frequency(week)]]&lt;5, "Intermediate (3–4 days)", Table1[[#This Row],[Exercise_Frequency(week)]]&lt;8, "Advanced (5–7 days)")</f>
        <v>Advanced (5–7 days)</v>
      </c>
      <c r="L63" t="s">
        <v>13</v>
      </c>
      <c r="M63" s="2">
        <v>7</v>
      </c>
    </row>
    <row r="64" spans="1:13" x14ac:dyDescent="0.5">
      <c r="A64" t="s">
        <v>445</v>
      </c>
      <c r="B64" s="2">
        <v>19</v>
      </c>
      <c r="C64" s="2" t="str" cm="1">
        <f t="array" ref="C64">_xlfn.IFS(B64&lt;25, "Youth (16–24)", B64&lt;35, "Young Adults (25–34)", B64&lt;45, "Adults (35–44)", B64&lt;55, "Middle-aged (45–54)")</f>
        <v>Youth (16–24)</v>
      </c>
      <c r="D64" t="s">
        <v>16</v>
      </c>
      <c r="E64" s="1">
        <v>8.1</v>
      </c>
      <c r="F64" s="1" t="str" cm="1">
        <f t="array" ref="F64">_xlfn.IFS(E64&lt;3, "Low (0–3 hrs)", E64&lt;6, "Moderate (3–6 hrs)", E64&lt;8, "High (6–8 hrs)", E64&gt;=8, "Very High (8+ hrs)")</f>
        <v>Very High (8+ hrs)</v>
      </c>
      <c r="G64" s="2">
        <v>5</v>
      </c>
      <c r="H64" s="2">
        <v>9</v>
      </c>
      <c r="I64" s="2">
        <v>1</v>
      </c>
      <c r="J64" s="2">
        <v>5</v>
      </c>
      <c r="K64" s="2" t="str" cm="1">
        <f t="array" ref="K64">_xlfn.IFS(Table1[[#This Row],[Exercise_Frequency(week)]]&lt;3, "Beginners (0–2 days)", Table1[[#This Row],[Exercise_Frequency(week)]]&lt;5, "Intermediate (3–4 days)", Table1[[#This Row],[Exercise_Frequency(week)]]&lt;8, "Advanced (5–7 days)")</f>
        <v>Advanced (5–7 days)</v>
      </c>
      <c r="L64" t="s">
        <v>19</v>
      </c>
      <c r="M64" s="2">
        <v>7</v>
      </c>
    </row>
    <row r="65" spans="1:13" x14ac:dyDescent="0.5">
      <c r="A65" t="s">
        <v>475</v>
      </c>
      <c r="B65" s="2">
        <v>30</v>
      </c>
      <c r="C65" s="2" t="str" cm="1">
        <f t="array" ref="C65">_xlfn.IFS(B65&lt;25, "Youth (16–24)", B65&lt;35, "Young Adults (25–34)", B65&lt;45, "Adults (35–44)", B65&lt;55, "Middle-aged (45–54)")</f>
        <v>Young Adults (25–34)</v>
      </c>
      <c r="D65" t="s">
        <v>11</v>
      </c>
      <c r="E65" s="1">
        <v>5</v>
      </c>
      <c r="F65" s="1" t="str" cm="1">
        <f t="array" ref="F65">_xlfn.IFS(E65&lt;3, "Low (0–3 hrs)", E65&lt;6, "Moderate (3–6 hrs)", E65&lt;8, "High (6–8 hrs)", E65&gt;=8, "Very High (8+ hrs)")</f>
        <v>Moderate (3–6 hrs)</v>
      </c>
      <c r="G65" s="2">
        <v>7</v>
      </c>
      <c r="H65" s="2">
        <v>8</v>
      </c>
      <c r="I65" s="2">
        <v>2</v>
      </c>
      <c r="J65" s="2">
        <v>5</v>
      </c>
      <c r="K65" s="2" t="str" cm="1">
        <f t="array" ref="K65">_xlfn.IFS(Table1[[#This Row],[Exercise_Frequency(week)]]&lt;3, "Beginners (0–2 days)", Table1[[#This Row],[Exercise_Frequency(week)]]&lt;5, "Intermediate (3–4 days)", Table1[[#This Row],[Exercise_Frequency(week)]]&lt;8, "Advanced (5–7 days)")</f>
        <v>Advanced (5–7 days)</v>
      </c>
      <c r="L65" t="s">
        <v>14</v>
      </c>
      <c r="M65" s="2">
        <v>7</v>
      </c>
    </row>
    <row r="66" spans="1:13" x14ac:dyDescent="0.5">
      <c r="A66" t="s">
        <v>22</v>
      </c>
      <c r="B66" s="2">
        <v>26</v>
      </c>
      <c r="C66" s="2" t="str" cm="1">
        <f t="array" ref="C66">_xlfn.IFS(B66&lt;25, "Youth (16–24)", B66&lt;35, "Young Adults (25–34)", B66&lt;45, "Adults (35–44)", B66&lt;55, "Middle-aged (45–54)")</f>
        <v>Young Adults (25–34)</v>
      </c>
      <c r="D66" t="s">
        <v>16</v>
      </c>
      <c r="E66" s="1">
        <v>7.4</v>
      </c>
      <c r="F66" s="1" t="str" cm="1">
        <f t="array" ref="F66">_xlfn.IFS(E66&lt;3, "Low (0–3 hrs)", E66&lt;6, "Moderate (3–6 hrs)", E66&lt;8, "High (6–8 hrs)", E66&gt;=8, "Very High (8+ hrs)")</f>
        <v>High (6–8 hrs)</v>
      </c>
      <c r="G66" s="2">
        <v>5</v>
      </c>
      <c r="H66" s="2">
        <v>6</v>
      </c>
      <c r="I66" s="2">
        <v>1</v>
      </c>
      <c r="J66" s="2">
        <v>4</v>
      </c>
      <c r="K66" s="2" t="str" cm="1">
        <f t="array" ref="K66">_xlfn.IFS(Table1[[#This Row],[Exercise_Frequency(week)]]&lt;3, "Beginners (0–2 days)", Table1[[#This Row],[Exercise_Frequency(week)]]&lt;5, "Intermediate (3–4 days)", Table1[[#This Row],[Exercise_Frequency(week)]]&lt;8, "Advanced (5–7 days)")</f>
        <v>Intermediate (3–4 days)</v>
      </c>
      <c r="L66" t="s">
        <v>23</v>
      </c>
      <c r="M66" s="2">
        <v>7</v>
      </c>
    </row>
    <row r="67" spans="1:13" x14ac:dyDescent="0.5">
      <c r="A67" t="s">
        <v>31</v>
      </c>
      <c r="B67" s="2">
        <v>36</v>
      </c>
      <c r="C67" s="2" t="str" cm="1">
        <f t="array" ref="C67">_xlfn.IFS(B67&lt;25, "Youth (16–24)", B67&lt;35, "Young Adults (25–34)", B67&lt;45, "Adults (35–44)", B67&lt;55, "Middle-aged (45–54)")</f>
        <v>Adults (35–44)</v>
      </c>
      <c r="D67" t="s">
        <v>16</v>
      </c>
      <c r="E67" s="1">
        <v>7.5</v>
      </c>
      <c r="F67" s="1" t="str" cm="1">
        <f t="array" ref="F67">_xlfn.IFS(E67&lt;3, "Low (0–3 hrs)", E67&lt;6, "Moderate (3–6 hrs)", E67&lt;8, "High (6–8 hrs)", E67&gt;=8, "Very High (8+ hrs)")</f>
        <v>High (6–8 hrs)</v>
      </c>
      <c r="G67" s="2">
        <v>5</v>
      </c>
      <c r="H67" s="2">
        <v>8</v>
      </c>
      <c r="I67" s="2">
        <v>4</v>
      </c>
      <c r="J67" s="2">
        <v>4</v>
      </c>
      <c r="K67" s="2" t="str" cm="1">
        <f t="array" ref="K67">_xlfn.IFS(Table1[[#This Row],[Exercise_Frequency(week)]]&lt;3, "Beginners (0–2 days)", Table1[[#This Row],[Exercise_Frequency(week)]]&lt;5, "Intermediate (3–4 days)", Table1[[#This Row],[Exercise_Frequency(week)]]&lt;8, "Advanced (5–7 days)")</f>
        <v>Intermediate (3–4 days)</v>
      </c>
      <c r="L67" t="s">
        <v>12</v>
      </c>
      <c r="M67" s="2">
        <v>7</v>
      </c>
    </row>
    <row r="68" spans="1:13" x14ac:dyDescent="0.5">
      <c r="A68" t="s">
        <v>44</v>
      </c>
      <c r="B68" s="2">
        <v>40</v>
      </c>
      <c r="C68" s="2" t="str" cm="1">
        <f t="array" ref="C68">_xlfn.IFS(B68&lt;25, "Youth (16–24)", B68&lt;35, "Young Adults (25–34)", B68&lt;45, "Adults (35–44)", B68&lt;55, "Middle-aged (45–54)")</f>
        <v>Adults (35–44)</v>
      </c>
      <c r="D68" t="s">
        <v>11</v>
      </c>
      <c r="E68" s="1">
        <v>6</v>
      </c>
      <c r="F68" s="1" t="str" cm="1">
        <f t="array" ref="F68">_xlfn.IFS(E68&lt;3, "Low (0–3 hrs)", E68&lt;6, "Moderate (3–6 hrs)", E68&lt;8, "High (6–8 hrs)", E68&gt;=8, "Very High (8+ hrs)")</f>
        <v>High (6–8 hrs)</v>
      </c>
      <c r="G68" s="2">
        <v>6</v>
      </c>
      <c r="H68" s="2">
        <v>7</v>
      </c>
      <c r="I68" s="2">
        <v>5</v>
      </c>
      <c r="J68" s="2">
        <v>4</v>
      </c>
      <c r="K68" s="2" t="str" cm="1">
        <f t="array" ref="K68">_xlfn.IFS(Table1[[#This Row],[Exercise_Frequency(week)]]&lt;3, "Beginners (0–2 days)", Table1[[#This Row],[Exercise_Frequency(week)]]&lt;5, "Intermediate (3–4 days)", Table1[[#This Row],[Exercise_Frequency(week)]]&lt;8, "Advanced (5–7 days)")</f>
        <v>Intermediate (3–4 days)</v>
      </c>
      <c r="L68" t="s">
        <v>17</v>
      </c>
      <c r="M68" s="2">
        <v>7</v>
      </c>
    </row>
    <row r="69" spans="1:13" x14ac:dyDescent="0.5">
      <c r="A69" t="s">
        <v>68</v>
      </c>
      <c r="B69" s="2">
        <v>33</v>
      </c>
      <c r="C69" s="2" t="str" cm="1">
        <f t="array" ref="C69">_xlfn.IFS(B69&lt;25, "Youth (16–24)", B69&lt;35, "Young Adults (25–34)", B69&lt;45, "Adults (35–44)", B69&lt;55, "Middle-aged (45–54)")</f>
        <v>Young Adults (25–34)</v>
      </c>
      <c r="D69" t="s">
        <v>11</v>
      </c>
      <c r="E69" s="1">
        <v>8.4</v>
      </c>
      <c r="F69" s="1" t="str" cm="1">
        <f t="array" ref="F69">_xlfn.IFS(E69&lt;3, "Low (0–3 hrs)", E69&lt;6, "Moderate (3–6 hrs)", E69&lt;8, "High (6–8 hrs)", E69&gt;=8, "Very High (8+ hrs)")</f>
        <v>Very High (8+ hrs)</v>
      </c>
      <c r="G69" s="2">
        <v>4</v>
      </c>
      <c r="H69" s="2">
        <v>8</v>
      </c>
      <c r="I69" s="2">
        <v>6</v>
      </c>
      <c r="J69" s="2">
        <v>4</v>
      </c>
      <c r="K69" s="2" t="str" cm="1">
        <f t="array" ref="K69">_xlfn.IFS(Table1[[#This Row],[Exercise_Frequency(week)]]&lt;3, "Beginners (0–2 days)", Table1[[#This Row],[Exercise_Frequency(week)]]&lt;5, "Intermediate (3–4 days)", Table1[[#This Row],[Exercise_Frequency(week)]]&lt;8, "Advanced (5–7 days)")</f>
        <v>Intermediate (3–4 days)</v>
      </c>
      <c r="L69" t="s">
        <v>19</v>
      </c>
      <c r="M69" s="2">
        <v>7</v>
      </c>
    </row>
    <row r="70" spans="1:13" x14ac:dyDescent="0.5">
      <c r="A70" t="s">
        <v>109</v>
      </c>
      <c r="B70" s="2">
        <v>47</v>
      </c>
      <c r="C70" s="2" t="str" cm="1">
        <f t="array" ref="C70">_xlfn.IFS(B70&lt;25, "Youth (16–24)", B70&lt;35, "Young Adults (25–34)", B70&lt;45, "Adults (35–44)", B70&lt;55, "Middle-aged (45–54)")</f>
        <v>Middle-aged (45–54)</v>
      </c>
      <c r="D70" t="s">
        <v>11</v>
      </c>
      <c r="E70" s="1">
        <v>5.9</v>
      </c>
      <c r="F70" s="1" t="str" cm="1">
        <f t="array" ref="F70">_xlfn.IFS(E70&lt;3, "Low (0–3 hrs)", E70&lt;6, "Moderate (3–6 hrs)", E70&lt;8, "High (6–8 hrs)", E70&gt;=8, "Very High (8+ hrs)")</f>
        <v>Moderate (3–6 hrs)</v>
      </c>
      <c r="G70" s="2">
        <v>4</v>
      </c>
      <c r="H70" s="2">
        <v>7</v>
      </c>
      <c r="I70" s="2">
        <v>2</v>
      </c>
      <c r="J70" s="2">
        <v>4</v>
      </c>
      <c r="K70" s="2" t="str" cm="1">
        <f t="array" ref="K70">_xlfn.IFS(Table1[[#This Row],[Exercise_Frequency(week)]]&lt;3, "Beginners (0–2 days)", Table1[[#This Row],[Exercise_Frequency(week)]]&lt;5, "Intermediate (3–4 days)", Table1[[#This Row],[Exercise_Frequency(week)]]&lt;8, "Advanced (5–7 days)")</f>
        <v>Intermediate (3–4 days)</v>
      </c>
      <c r="L70" t="s">
        <v>23</v>
      </c>
      <c r="M70" s="2">
        <v>7</v>
      </c>
    </row>
    <row r="71" spans="1:13" x14ac:dyDescent="0.5">
      <c r="A71" t="s">
        <v>135</v>
      </c>
      <c r="B71" s="2">
        <v>21</v>
      </c>
      <c r="C71" s="2" t="str" cm="1">
        <f t="array" ref="C71">_xlfn.IFS(B71&lt;25, "Youth (16–24)", B71&lt;35, "Young Adults (25–34)", B71&lt;45, "Adults (35–44)", B71&lt;55, "Middle-aged (45–54)")</f>
        <v>Youth (16–24)</v>
      </c>
      <c r="D71" t="s">
        <v>11</v>
      </c>
      <c r="E71" s="1">
        <v>8.1999999999999993</v>
      </c>
      <c r="F71" s="1" t="str" cm="1">
        <f t="array" ref="F71">_xlfn.IFS(E71&lt;3, "Low (0–3 hrs)", E71&lt;6, "Moderate (3–6 hrs)", E71&lt;8, "High (6–8 hrs)", E71&gt;=8, "Very High (8+ hrs)")</f>
        <v>Very High (8+ hrs)</v>
      </c>
      <c r="G71" s="2">
        <v>5</v>
      </c>
      <c r="H71" s="2">
        <v>7</v>
      </c>
      <c r="I71" s="2">
        <v>6</v>
      </c>
      <c r="J71" s="2">
        <v>4</v>
      </c>
      <c r="K71" s="2" t="str" cm="1">
        <f t="array" ref="K71">_xlfn.IFS(Table1[[#This Row],[Exercise_Frequency(week)]]&lt;3, "Beginners (0–2 days)", Table1[[#This Row],[Exercise_Frequency(week)]]&lt;5, "Intermediate (3–4 days)", Table1[[#This Row],[Exercise_Frequency(week)]]&lt;8, "Advanced (5–7 days)")</f>
        <v>Intermediate (3–4 days)</v>
      </c>
      <c r="L71" t="s">
        <v>23</v>
      </c>
      <c r="M71" s="2">
        <v>7</v>
      </c>
    </row>
    <row r="72" spans="1:13" x14ac:dyDescent="0.5">
      <c r="A72" t="s">
        <v>144</v>
      </c>
      <c r="B72" s="2">
        <v>39</v>
      </c>
      <c r="C72" s="2" t="str" cm="1">
        <f t="array" ref="C72">_xlfn.IFS(B72&lt;25, "Youth (16–24)", B72&lt;35, "Young Adults (25–34)", B72&lt;45, "Adults (35–44)", B72&lt;55, "Middle-aged (45–54)")</f>
        <v>Adults (35–44)</v>
      </c>
      <c r="D72" t="s">
        <v>11</v>
      </c>
      <c r="E72" s="1">
        <v>6.2</v>
      </c>
      <c r="F72" s="1" t="str" cm="1">
        <f t="array" ref="F72">_xlfn.IFS(E72&lt;3, "Low (0–3 hrs)", E72&lt;6, "Moderate (3–6 hrs)", E72&lt;8, "High (6–8 hrs)", E72&gt;=8, "Very High (8+ hrs)")</f>
        <v>High (6–8 hrs)</v>
      </c>
      <c r="G72" s="2">
        <v>5</v>
      </c>
      <c r="H72" s="2">
        <v>8</v>
      </c>
      <c r="I72" s="2">
        <v>4</v>
      </c>
      <c r="J72" s="2">
        <v>4</v>
      </c>
      <c r="K72" s="2" t="str" cm="1">
        <f t="array" ref="K72">_xlfn.IFS(Table1[[#This Row],[Exercise_Frequency(week)]]&lt;3, "Beginners (0–2 days)", Table1[[#This Row],[Exercise_Frequency(week)]]&lt;5, "Intermediate (3–4 days)", Table1[[#This Row],[Exercise_Frequency(week)]]&lt;8, "Advanced (5–7 days)")</f>
        <v>Intermediate (3–4 days)</v>
      </c>
      <c r="L72" t="s">
        <v>13</v>
      </c>
      <c r="M72" s="2">
        <v>7</v>
      </c>
    </row>
    <row r="73" spans="1:13" x14ac:dyDescent="0.5">
      <c r="A73" t="s">
        <v>187</v>
      </c>
      <c r="B73" s="2">
        <v>43</v>
      </c>
      <c r="C73" s="2" t="str" cm="1">
        <f t="array" ref="C73">_xlfn.IFS(B73&lt;25, "Youth (16–24)", B73&lt;35, "Young Adults (25–34)", B73&lt;45, "Adults (35–44)", B73&lt;55, "Middle-aged (45–54)")</f>
        <v>Adults (35–44)</v>
      </c>
      <c r="D73" t="s">
        <v>16</v>
      </c>
      <c r="E73" s="1">
        <v>6.1</v>
      </c>
      <c r="F73" s="1" t="str" cm="1">
        <f t="array" ref="F73">_xlfn.IFS(E73&lt;3, "Low (0–3 hrs)", E73&lt;6, "Moderate (3–6 hrs)", E73&lt;8, "High (6–8 hrs)", E73&gt;=8, "Very High (8+ hrs)")</f>
        <v>High (6–8 hrs)</v>
      </c>
      <c r="G73" s="2">
        <v>7</v>
      </c>
      <c r="H73" s="2">
        <v>9</v>
      </c>
      <c r="I73" s="2">
        <v>1</v>
      </c>
      <c r="J73" s="2">
        <v>4</v>
      </c>
      <c r="K73" s="2" t="str" cm="1">
        <f t="array" ref="K73">_xlfn.IFS(Table1[[#This Row],[Exercise_Frequency(week)]]&lt;3, "Beginners (0–2 days)", Table1[[#This Row],[Exercise_Frequency(week)]]&lt;5, "Intermediate (3–4 days)", Table1[[#This Row],[Exercise_Frequency(week)]]&lt;8, "Advanced (5–7 days)")</f>
        <v>Intermediate (3–4 days)</v>
      </c>
      <c r="L73" t="s">
        <v>14</v>
      </c>
      <c r="M73" s="2">
        <v>7</v>
      </c>
    </row>
    <row r="74" spans="1:13" x14ac:dyDescent="0.5">
      <c r="A74" t="s">
        <v>191</v>
      </c>
      <c r="B74" s="2">
        <v>45</v>
      </c>
      <c r="C74" s="2" t="str" cm="1">
        <f t="array" ref="C74">_xlfn.IFS(B74&lt;25, "Youth (16–24)", B74&lt;35, "Young Adults (25–34)", B74&lt;45, "Adults (35–44)", B74&lt;55, "Middle-aged (45–54)")</f>
        <v>Middle-aged (45–54)</v>
      </c>
      <c r="D74" t="s">
        <v>16</v>
      </c>
      <c r="E74" s="1">
        <v>5.4</v>
      </c>
      <c r="F74" s="1" t="str" cm="1">
        <f t="array" ref="F74">_xlfn.IFS(E74&lt;3, "Low (0–3 hrs)", E74&lt;6, "Moderate (3–6 hrs)", E74&lt;8, "High (6–8 hrs)", E74&gt;=8, "Very High (8+ hrs)")</f>
        <v>Moderate (3–6 hrs)</v>
      </c>
      <c r="G74" s="2">
        <v>7</v>
      </c>
      <c r="H74" s="2">
        <v>8</v>
      </c>
      <c r="I74" s="2">
        <v>3</v>
      </c>
      <c r="J74" s="2">
        <v>4</v>
      </c>
      <c r="K74" s="2" t="str" cm="1">
        <f t="array" ref="K74">_xlfn.IFS(Table1[[#This Row],[Exercise_Frequency(week)]]&lt;3, "Beginners (0–2 days)", Table1[[#This Row],[Exercise_Frequency(week)]]&lt;5, "Intermediate (3–4 days)", Table1[[#This Row],[Exercise_Frequency(week)]]&lt;8, "Advanced (5–7 days)")</f>
        <v>Intermediate (3–4 days)</v>
      </c>
      <c r="L74" t="s">
        <v>12</v>
      </c>
      <c r="M74" s="2">
        <v>7</v>
      </c>
    </row>
    <row r="75" spans="1:13" x14ac:dyDescent="0.5">
      <c r="A75" t="s">
        <v>310</v>
      </c>
      <c r="B75" s="2">
        <v>41</v>
      </c>
      <c r="C75" s="2" t="str" cm="1">
        <f t="array" ref="C75">_xlfn.IFS(B75&lt;25, "Youth (16–24)", B75&lt;35, "Young Adults (25–34)", B75&lt;45, "Adults (35–44)", B75&lt;55, "Middle-aged (45–54)")</f>
        <v>Adults (35–44)</v>
      </c>
      <c r="D75" t="s">
        <v>16</v>
      </c>
      <c r="E75" s="1">
        <v>6.2</v>
      </c>
      <c r="F75" s="1" t="str" cm="1">
        <f t="array" ref="F75">_xlfn.IFS(E75&lt;3, "Low (0–3 hrs)", E75&lt;6, "Moderate (3–6 hrs)", E75&lt;8, "High (6–8 hrs)", E75&gt;=8, "Very High (8+ hrs)")</f>
        <v>High (6–8 hrs)</v>
      </c>
      <c r="G75" s="2">
        <v>8</v>
      </c>
      <c r="H75" s="2">
        <v>9</v>
      </c>
      <c r="I75" s="2">
        <v>0</v>
      </c>
      <c r="J75" s="2">
        <v>4</v>
      </c>
      <c r="K75" s="2" t="str" cm="1">
        <f t="array" ref="K75">_xlfn.IFS(Table1[[#This Row],[Exercise_Frequency(week)]]&lt;3, "Beginners (0–2 days)", Table1[[#This Row],[Exercise_Frequency(week)]]&lt;5, "Intermediate (3–4 days)", Table1[[#This Row],[Exercise_Frequency(week)]]&lt;8, "Advanced (5–7 days)")</f>
        <v>Intermediate (3–4 days)</v>
      </c>
      <c r="L75" t="s">
        <v>17</v>
      </c>
      <c r="M75" s="2">
        <v>7</v>
      </c>
    </row>
    <row r="76" spans="1:13" x14ac:dyDescent="0.5">
      <c r="A76" t="s">
        <v>427</v>
      </c>
      <c r="B76" s="2">
        <v>33</v>
      </c>
      <c r="C76" s="2" t="str" cm="1">
        <f t="array" ref="C76">_xlfn.IFS(B76&lt;25, "Youth (16–24)", B76&lt;35, "Young Adults (25–34)", B76&lt;45, "Adults (35–44)", B76&lt;55, "Middle-aged (45–54)")</f>
        <v>Young Adults (25–34)</v>
      </c>
      <c r="D76" t="s">
        <v>16</v>
      </c>
      <c r="E76" s="1">
        <v>6.9</v>
      </c>
      <c r="F76" s="1" t="str" cm="1">
        <f t="array" ref="F76">_xlfn.IFS(E76&lt;3, "Low (0–3 hrs)", E76&lt;6, "Moderate (3–6 hrs)", E76&lt;8, "High (6–8 hrs)", E76&gt;=8, "Very High (8+ hrs)")</f>
        <v>High (6–8 hrs)</v>
      </c>
      <c r="G76" s="2">
        <v>6</v>
      </c>
      <c r="H76" s="2">
        <v>7</v>
      </c>
      <c r="I76" s="2">
        <v>0</v>
      </c>
      <c r="J76" s="2">
        <v>4</v>
      </c>
      <c r="K76" s="2" t="str" cm="1">
        <f t="array" ref="K76">_xlfn.IFS(Table1[[#This Row],[Exercise_Frequency(week)]]&lt;3, "Beginners (0–2 days)", Table1[[#This Row],[Exercise_Frequency(week)]]&lt;5, "Intermediate (3–4 days)", Table1[[#This Row],[Exercise_Frequency(week)]]&lt;8, "Advanced (5–7 days)")</f>
        <v>Intermediate (3–4 days)</v>
      </c>
      <c r="L76" t="s">
        <v>23</v>
      </c>
      <c r="M76" s="2">
        <v>7</v>
      </c>
    </row>
    <row r="77" spans="1:13" x14ac:dyDescent="0.5">
      <c r="A77" t="s">
        <v>428</v>
      </c>
      <c r="B77" s="2">
        <v>27</v>
      </c>
      <c r="C77" s="2" t="str" cm="1">
        <f t="array" ref="C77">_xlfn.IFS(B77&lt;25, "Youth (16–24)", B77&lt;35, "Young Adults (25–34)", B77&lt;45, "Adults (35–44)", B77&lt;55, "Middle-aged (45–54)")</f>
        <v>Young Adults (25–34)</v>
      </c>
      <c r="D77" t="s">
        <v>11</v>
      </c>
      <c r="E77" s="1">
        <v>6.8</v>
      </c>
      <c r="F77" s="1" t="str" cm="1">
        <f t="array" ref="F77">_xlfn.IFS(E77&lt;3, "Low (0–3 hrs)", E77&lt;6, "Moderate (3–6 hrs)", E77&lt;8, "High (6–8 hrs)", E77&gt;=8, "Very High (8+ hrs)")</f>
        <v>High (6–8 hrs)</v>
      </c>
      <c r="G77" s="2">
        <v>5</v>
      </c>
      <c r="H77" s="2">
        <v>8</v>
      </c>
      <c r="I77" s="2">
        <v>5</v>
      </c>
      <c r="J77" s="2">
        <v>4</v>
      </c>
      <c r="K77" s="2" t="str" cm="1">
        <f t="array" ref="K77">_xlfn.IFS(Table1[[#This Row],[Exercise_Frequency(week)]]&lt;3, "Beginners (0–2 days)", Table1[[#This Row],[Exercise_Frequency(week)]]&lt;5, "Intermediate (3–4 days)", Table1[[#This Row],[Exercise_Frequency(week)]]&lt;8, "Advanced (5–7 days)")</f>
        <v>Intermediate (3–4 days)</v>
      </c>
      <c r="L77" t="s">
        <v>17</v>
      </c>
      <c r="M77" s="2">
        <v>7</v>
      </c>
    </row>
    <row r="78" spans="1:13" x14ac:dyDescent="0.5">
      <c r="A78" t="s">
        <v>51</v>
      </c>
      <c r="B78" s="2">
        <v>32</v>
      </c>
      <c r="C78" s="2" t="str" cm="1">
        <f t="array" ref="C78">_xlfn.IFS(B78&lt;25, "Youth (16–24)", B78&lt;35, "Young Adults (25–34)", B78&lt;45, "Adults (35–44)", B78&lt;55, "Middle-aged (45–54)")</f>
        <v>Young Adults (25–34)</v>
      </c>
      <c r="D78" t="s">
        <v>11</v>
      </c>
      <c r="E78" s="1">
        <v>6.1</v>
      </c>
      <c r="F78" s="1" t="str" cm="1">
        <f t="array" ref="F78">_xlfn.IFS(E78&lt;3, "Low (0–3 hrs)", E78&lt;6, "Moderate (3–6 hrs)", E78&lt;8, "High (6–8 hrs)", E78&gt;=8, "Very High (8+ hrs)")</f>
        <v>High (6–8 hrs)</v>
      </c>
      <c r="G78" s="2">
        <v>5</v>
      </c>
      <c r="H78" s="2">
        <v>6</v>
      </c>
      <c r="I78" s="2">
        <v>3</v>
      </c>
      <c r="J78" s="2">
        <v>3</v>
      </c>
      <c r="K78" s="2" t="str" cm="1">
        <f t="array" ref="K78">_xlfn.IFS(Table1[[#This Row],[Exercise_Frequency(week)]]&lt;3, "Beginners (0–2 days)", Table1[[#This Row],[Exercise_Frequency(week)]]&lt;5, "Intermediate (3–4 days)", Table1[[#This Row],[Exercise_Frequency(week)]]&lt;8, "Advanced (5–7 days)")</f>
        <v>Intermediate (3–4 days)</v>
      </c>
      <c r="L78" t="s">
        <v>23</v>
      </c>
      <c r="M78" s="2">
        <v>7</v>
      </c>
    </row>
    <row r="79" spans="1:13" x14ac:dyDescent="0.5">
      <c r="A79" t="s">
        <v>165</v>
      </c>
      <c r="B79" s="2">
        <v>39</v>
      </c>
      <c r="C79" s="2" t="str" cm="1">
        <f t="array" ref="C79">_xlfn.IFS(B79&lt;25, "Youth (16–24)", B79&lt;35, "Young Adults (25–34)", B79&lt;45, "Adults (35–44)", B79&lt;55, "Middle-aged (45–54)")</f>
        <v>Adults (35–44)</v>
      </c>
      <c r="D79" t="s">
        <v>11</v>
      </c>
      <c r="E79" s="1">
        <v>7.5</v>
      </c>
      <c r="F79" s="1" t="str" cm="1">
        <f t="array" ref="F79">_xlfn.IFS(E79&lt;3, "Low (0–3 hrs)", E79&lt;6, "Moderate (3–6 hrs)", E79&lt;8, "High (6–8 hrs)", E79&gt;=8, "Very High (8+ hrs)")</f>
        <v>High (6–8 hrs)</v>
      </c>
      <c r="G79" s="2">
        <v>5</v>
      </c>
      <c r="H79" s="2">
        <v>6</v>
      </c>
      <c r="I79" s="2">
        <v>6</v>
      </c>
      <c r="J79" s="2">
        <v>3</v>
      </c>
      <c r="K79" s="2" t="str" cm="1">
        <f t="array" ref="K79">_xlfn.IFS(Table1[[#This Row],[Exercise_Frequency(week)]]&lt;3, "Beginners (0–2 days)", Table1[[#This Row],[Exercise_Frequency(week)]]&lt;5, "Intermediate (3–4 days)", Table1[[#This Row],[Exercise_Frequency(week)]]&lt;8, "Advanced (5–7 days)")</f>
        <v>Intermediate (3–4 days)</v>
      </c>
      <c r="L79" t="s">
        <v>23</v>
      </c>
      <c r="M79" s="2">
        <v>7</v>
      </c>
    </row>
    <row r="80" spans="1:13" x14ac:dyDescent="0.5">
      <c r="A80" t="s">
        <v>210</v>
      </c>
      <c r="B80" s="2">
        <v>35</v>
      </c>
      <c r="C80" s="2" t="str" cm="1">
        <f t="array" ref="C80">_xlfn.IFS(B80&lt;25, "Youth (16–24)", B80&lt;35, "Young Adults (25–34)", B80&lt;45, "Adults (35–44)", B80&lt;55, "Middle-aged (45–54)")</f>
        <v>Adults (35–44)</v>
      </c>
      <c r="D80" t="s">
        <v>11</v>
      </c>
      <c r="E80" s="1">
        <v>6.2</v>
      </c>
      <c r="F80" s="1" t="str" cm="1">
        <f t="array" ref="F80">_xlfn.IFS(E80&lt;3, "Low (0–3 hrs)", E80&lt;6, "Moderate (3–6 hrs)", E80&lt;8, "High (6–8 hrs)", E80&gt;=8, "Very High (8+ hrs)")</f>
        <v>High (6–8 hrs)</v>
      </c>
      <c r="G80" s="2">
        <v>4</v>
      </c>
      <c r="H80" s="2">
        <v>8</v>
      </c>
      <c r="I80" s="2">
        <v>1</v>
      </c>
      <c r="J80" s="2">
        <v>3</v>
      </c>
      <c r="K80" s="2" t="str" cm="1">
        <f t="array" ref="K80">_xlfn.IFS(Table1[[#This Row],[Exercise_Frequency(week)]]&lt;3, "Beginners (0–2 days)", Table1[[#This Row],[Exercise_Frequency(week)]]&lt;5, "Intermediate (3–4 days)", Table1[[#This Row],[Exercise_Frequency(week)]]&lt;8, "Advanced (5–7 days)")</f>
        <v>Intermediate (3–4 days)</v>
      </c>
      <c r="L80" t="s">
        <v>23</v>
      </c>
      <c r="M80" s="2">
        <v>7</v>
      </c>
    </row>
    <row r="81" spans="1:13" x14ac:dyDescent="0.5">
      <c r="A81" t="s">
        <v>217</v>
      </c>
      <c r="B81" s="2">
        <v>48</v>
      </c>
      <c r="C81" s="2" t="str" cm="1">
        <f t="array" ref="C81">_xlfn.IFS(B81&lt;25, "Youth (16–24)", B81&lt;35, "Young Adults (25–34)", B81&lt;45, "Adults (35–44)", B81&lt;55, "Middle-aged (45–54)")</f>
        <v>Middle-aged (45–54)</v>
      </c>
      <c r="D81" t="s">
        <v>16</v>
      </c>
      <c r="E81" s="1">
        <v>6.4</v>
      </c>
      <c r="F81" s="1" t="str" cm="1">
        <f t="array" ref="F81">_xlfn.IFS(E81&lt;3, "Low (0–3 hrs)", E81&lt;6, "Moderate (3–6 hrs)", E81&lt;8, "High (6–8 hrs)", E81&gt;=8, "Very High (8+ hrs)")</f>
        <v>High (6–8 hrs)</v>
      </c>
      <c r="G81" s="2">
        <v>4</v>
      </c>
      <c r="H81" s="2">
        <v>6</v>
      </c>
      <c r="I81" s="2">
        <v>2</v>
      </c>
      <c r="J81" s="2">
        <v>3</v>
      </c>
      <c r="K81" s="2" t="str" cm="1">
        <f t="array" ref="K81">_xlfn.IFS(Table1[[#This Row],[Exercise_Frequency(week)]]&lt;3, "Beginners (0–2 days)", Table1[[#This Row],[Exercise_Frequency(week)]]&lt;5, "Intermediate (3–4 days)", Table1[[#This Row],[Exercise_Frequency(week)]]&lt;8, "Advanced (5–7 days)")</f>
        <v>Intermediate (3–4 days)</v>
      </c>
      <c r="L81" t="s">
        <v>17</v>
      </c>
      <c r="M81" s="2">
        <v>7</v>
      </c>
    </row>
    <row r="82" spans="1:13" x14ac:dyDescent="0.5">
      <c r="A82" t="s">
        <v>245</v>
      </c>
      <c r="B82" s="2">
        <v>45</v>
      </c>
      <c r="C82" s="2" t="str" cm="1">
        <f t="array" ref="C82">_xlfn.IFS(B82&lt;25, "Youth (16–24)", B82&lt;35, "Young Adults (25–34)", B82&lt;45, "Adults (35–44)", B82&lt;55, "Middle-aged (45–54)")</f>
        <v>Middle-aged (45–54)</v>
      </c>
      <c r="D82" t="s">
        <v>11</v>
      </c>
      <c r="E82" s="1">
        <v>5.9</v>
      </c>
      <c r="F82" s="1" t="str" cm="1">
        <f t="array" ref="F82">_xlfn.IFS(E82&lt;3, "Low (0–3 hrs)", E82&lt;6, "Moderate (3–6 hrs)", E82&lt;8, "High (6–8 hrs)", E82&gt;=8, "Very High (8+ hrs)")</f>
        <v>Moderate (3–6 hrs)</v>
      </c>
      <c r="G82" s="2">
        <v>6</v>
      </c>
      <c r="H82" s="2">
        <v>8</v>
      </c>
      <c r="I82" s="2">
        <v>0</v>
      </c>
      <c r="J82" s="2">
        <v>3</v>
      </c>
      <c r="K82" s="2" t="str" cm="1">
        <f t="array" ref="K82">_xlfn.IFS(Table1[[#This Row],[Exercise_Frequency(week)]]&lt;3, "Beginners (0–2 days)", Table1[[#This Row],[Exercise_Frequency(week)]]&lt;5, "Intermediate (3–4 days)", Table1[[#This Row],[Exercise_Frequency(week)]]&lt;8, "Advanced (5–7 days)")</f>
        <v>Intermediate (3–4 days)</v>
      </c>
      <c r="L82" t="s">
        <v>12</v>
      </c>
      <c r="M82" s="2">
        <v>7</v>
      </c>
    </row>
    <row r="83" spans="1:13" x14ac:dyDescent="0.5">
      <c r="A83" t="s">
        <v>248</v>
      </c>
      <c r="B83" s="2">
        <v>39</v>
      </c>
      <c r="C83" s="2" t="str" cm="1">
        <f t="array" ref="C83">_xlfn.IFS(B83&lt;25, "Youth (16–24)", B83&lt;35, "Young Adults (25–34)", B83&lt;45, "Adults (35–44)", B83&lt;55, "Middle-aged (45–54)")</f>
        <v>Adults (35–44)</v>
      </c>
      <c r="D83" t="s">
        <v>16</v>
      </c>
      <c r="E83" s="1">
        <v>6.6</v>
      </c>
      <c r="F83" s="1" t="str" cm="1">
        <f t="array" ref="F83">_xlfn.IFS(E83&lt;3, "Low (0–3 hrs)", E83&lt;6, "Moderate (3–6 hrs)", E83&lt;8, "High (6–8 hrs)", E83&gt;=8, "Very High (8+ hrs)")</f>
        <v>High (6–8 hrs)</v>
      </c>
      <c r="G83" s="2">
        <v>6</v>
      </c>
      <c r="H83" s="2">
        <v>7</v>
      </c>
      <c r="I83" s="2">
        <v>3</v>
      </c>
      <c r="J83" s="2">
        <v>3</v>
      </c>
      <c r="K83" s="2" t="str" cm="1">
        <f t="array" ref="K83">_xlfn.IFS(Table1[[#This Row],[Exercise_Frequency(week)]]&lt;3, "Beginners (0–2 days)", Table1[[#This Row],[Exercise_Frequency(week)]]&lt;5, "Intermediate (3–4 days)", Table1[[#This Row],[Exercise_Frequency(week)]]&lt;8, "Advanced (5–7 days)")</f>
        <v>Intermediate (3–4 days)</v>
      </c>
      <c r="L83" t="s">
        <v>13</v>
      </c>
      <c r="M83" s="2">
        <v>7</v>
      </c>
    </row>
    <row r="84" spans="1:13" x14ac:dyDescent="0.5">
      <c r="A84" t="s">
        <v>288</v>
      </c>
      <c r="B84" s="2">
        <v>17</v>
      </c>
      <c r="C84" s="2" t="str" cm="1">
        <f t="array" ref="C84">_xlfn.IFS(B84&lt;25, "Youth (16–24)", B84&lt;35, "Young Adults (25–34)", B84&lt;45, "Adults (35–44)", B84&lt;55, "Middle-aged (45–54)")</f>
        <v>Youth (16–24)</v>
      </c>
      <c r="D84" t="s">
        <v>11</v>
      </c>
      <c r="E84" s="1">
        <v>6.2</v>
      </c>
      <c r="F84" s="1" t="str" cm="1">
        <f t="array" ref="F84">_xlfn.IFS(E84&lt;3, "Low (0–3 hrs)", E84&lt;6, "Moderate (3–6 hrs)", E84&lt;8, "High (6–8 hrs)", E84&gt;=8, "Very High (8+ hrs)")</f>
        <v>High (6–8 hrs)</v>
      </c>
      <c r="G84" s="2">
        <v>6</v>
      </c>
      <c r="H84" s="2">
        <v>8</v>
      </c>
      <c r="I84" s="2">
        <v>0</v>
      </c>
      <c r="J84" s="2">
        <v>3</v>
      </c>
      <c r="K84" s="2" t="str" cm="1">
        <f t="array" ref="K84">_xlfn.IFS(Table1[[#This Row],[Exercise_Frequency(week)]]&lt;3, "Beginners (0–2 days)", Table1[[#This Row],[Exercise_Frequency(week)]]&lt;5, "Intermediate (3–4 days)", Table1[[#This Row],[Exercise_Frequency(week)]]&lt;8, "Advanced (5–7 days)")</f>
        <v>Intermediate (3–4 days)</v>
      </c>
      <c r="L84" t="s">
        <v>14</v>
      </c>
      <c r="M84" s="2">
        <v>7</v>
      </c>
    </row>
    <row r="85" spans="1:13" x14ac:dyDescent="0.5">
      <c r="A85" t="s">
        <v>307</v>
      </c>
      <c r="B85" s="2">
        <v>32</v>
      </c>
      <c r="C85" s="2" t="str" cm="1">
        <f t="array" ref="C85">_xlfn.IFS(B85&lt;25, "Youth (16–24)", B85&lt;35, "Young Adults (25–34)", B85&lt;45, "Adults (35–44)", B85&lt;55, "Middle-aged (45–54)")</f>
        <v>Young Adults (25–34)</v>
      </c>
      <c r="D85" t="s">
        <v>16</v>
      </c>
      <c r="E85" s="1">
        <v>6.2</v>
      </c>
      <c r="F85" s="1" t="str" cm="1">
        <f t="array" ref="F85">_xlfn.IFS(E85&lt;3, "Low (0–3 hrs)", E85&lt;6, "Moderate (3–6 hrs)", E85&lt;8, "High (6–8 hrs)", E85&gt;=8, "Very High (8+ hrs)")</f>
        <v>High (6–8 hrs)</v>
      </c>
      <c r="G85" s="2">
        <v>5</v>
      </c>
      <c r="H85" s="2">
        <v>7</v>
      </c>
      <c r="I85" s="2">
        <v>1</v>
      </c>
      <c r="J85" s="2">
        <v>3</v>
      </c>
      <c r="K85" s="2" t="str" cm="1">
        <f t="array" ref="K85">_xlfn.IFS(Table1[[#This Row],[Exercise_Frequency(week)]]&lt;3, "Beginners (0–2 days)", Table1[[#This Row],[Exercise_Frequency(week)]]&lt;5, "Intermediate (3–4 days)", Table1[[#This Row],[Exercise_Frequency(week)]]&lt;8, "Advanced (5–7 days)")</f>
        <v>Intermediate (3–4 days)</v>
      </c>
      <c r="L85" t="s">
        <v>17</v>
      </c>
      <c r="M85" s="2">
        <v>7</v>
      </c>
    </row>
    <row r="86" spans="1:13" x14ac:dyDescent="0.5">
      <c r="A86" t="s">
        <v>338</v>
      </c>
      <c r="B86" s="2">
        <v>41</v>
      </c>
      <c r="C86" s="2" t="str" cm="1">
        <f t="array" ref="C86">_xlfn.IFS(B86&lt;25, "Youth (16–24)", B86&lt;35, "Young Adults (25–34)", B86&lt;45, "Adults (35–44)", B86&lt;55, "Middle-aged (45–54)")</f>
        <v>Adults (35–44)</v>
      </c>
      <c r="D86" t="s">
        <v>11</v>
      </c>
      <c r="E86" s="1">
        <v>7.2</v>
      </c>
      <c r="F86" s="1" t="str" cm="1">
        <f t="array" ref="F86">_xlfn.IFS(E86&lt;3, "Low (0–3 hrs)", E86&lt;6, "Moderate (3–6 hrs)", E86&lt;8, "High (6–8 hrs)", E86&gt;=8, "Very High (8+ hrs)")</f>
        <v>High (6–8 hrs)</v>
      </c>
      <c r="G86" s="2">
        <v>5</v>
      </c>
      <c r="H86" s="2">
        <v>10</v>
      </c>
      <c r="I86" s="2">
        <v>7</v>
      </c>
      <c r="J86" s="2">
        <v>3</v>
      </c>
      <c r="K86" s="2" t="str" cm="1">
        <f t="array" ref="K86">_xlfn.IFS(Table1[[#This Row],[Exercise_Frequency(week)]]&lt;3, "Beginners (0–2 days)", Table1[[#This Row],[Exercise_Frequency(week)]]&lt;5, "Intermediate (3–4 days)", Table1[[#This Row],[Exercise_Frequency(week)]]&lt;8, "Advanced (5–7 days)")</f>
        <v>Intermediate (3–4 days)</v>
      </c>
      <c r="L86" t="s">
        <v>13</v>
      </c>
      <c r="M86" s="2">
        <v>7</v>
      </c>
    </row>
    <row r="87" spans="1:13" x14ac:dyDescent="0.5">
      <c r="A87" t="s">
        <v>341</v>
      </c>
      <c r="B87" s="2">
        <v>45</v>
      </c>
      <c r="C87" s="2" t="str" cm="1">
        <f t="array" ref="C87">_xlfn.IFS(B87&lt;25, "Youth (16–24)", B87&lt;35, "Young Adults (25–34)", B87&lt;45, "Adults (35–44)", B87&lt;55, "Middle-aged (45–54)")</f>
        <v>Middle-aged (45–54)</v>
      </c>
      <c r="D87" t="s">
        <v>16</v>
      </c>
      <c r="E87" s="1">
        <v>5.6</v>
      </c>
      <c r="F87" s="1" t="str" cm="1">
        <f t="array" ref="F87">_xlfn.IFS(E87&lt;3, "Low (0–3 hrs)", E87&lt;6, "Moderate (3–6 hrs)", E87&lt;8, "High (6–8 hrs)", E87&gt;=8, "Very High (8+ hrs)")</f>
        <v>Moderate (3–6 hrs)</v>
      </c>
      <c r="G87" s="2">
        <v>6</v>
      </c>
      <c r="H87" s="2">
        <v>6</v>
      </c>
      <c r="I87" s="2">
        <v>1</v>
      </c>
      <c r="J87" s="2">
        <v>3</v>
      </c>
      <c r="K87" s="2" t="str" cm="1">
        <f t="array" ref="K87">_xlfn.IFS(Table1[[#This Row],[Exercise_Frequency(week)]]&lt;3, "Beginners (0–2 days)", Table1[[#This Row],[Exercise_Frequency(week)]]&lt;5, "Intermediate (3–4 days)", Table1[[#This Row],[Exercise_Frequency(week)]]&lt;8, "Advanced (5–7 days)")</f>
        <v>Intermediate (3–4 days)</v>
      </c>
      <c r="L87" t="s">
        <v>13</v>
      </c>
      <c r="M87" s="2">
        <v>7</v>
      </c>
    </row>
    <row r="88" spans="1:13" x14ac:dyDescent="0.5">
      <c r="A88" t="s">
        <v>378</v>
      </c>
      <c r="B88" s="2">
        <v>25</v>
      </c>
      <c r="C88" s="2" t="str" cm="1">
        <f t="array" ref="C88">_xlfn.IFS(B88&lt;25, "Youth (16–24)", B88&lt;35, "Young Adults (25–34)", B88&lt;45, "Adults (35–44)", B88&lt;55, "Middle-aged (45–54)")</f>
        <v>Young Adults (25–34)</v>
      </c>
      <c r="D88" t="s">
        <v>11</v>
      </c>
      <c r="E88" s="1">
        <v>7.5</v>
      </c>
      <c r="F88" s="1" t="str" cm="1">
        <f t="array" ref="F88">_xlfn.IFS(E88&lt;3, "Low (0–3 hrs)", E88&lt;6, "Moderate (3–6 hrs)", E88&lt;8, "High (6–8 hrs)", E88&gt;=8, "Very High (8+ hrs)")</f>
        <v>High (6–8 hrs)</v>
      </c>
      <c r="G88" s="2">
        <v>4</v>
      </c>
      <c r="H88" s="2">
        <v>8</v>
      </c>
      <c r="I88" s="2">
        <v>3</v>
      </c>
      <c r="J88" s="2">
        <v>3</v>
      </c>
      <c r="K88" s="2" t="str" cm="1">
        <f t="array" ref="K88">_xlfn.IFS(Table1[[#This Row],[Exercise_Frequency(week)]]&lt;3, "Beginners (0–2 days)", Table1[[#This Row],[Exercise_Frequency(week)]]&lt;5, "Intermediate (3–4 days)", Table1[[#This Row],[Exercise_Frequency(week)]]&lt;8, "Advanced (5–7 days)")</f>
        <v>Intermediate (3–4 days)</v>
      </c>
      <c r="L88" t="s">
        <v>19</v>
      </c>
      <c r="M88" s="2">
        <v>7</v>
      </c>
    </row>
    <row r="89" spans="1:13" x14ac:dyDescent="0.5">
      <c r="A89" t="s">
        <v>383</v>
      </c>
      <c r="B89" s="2">
        <v>26</v>
      </c>
      <c r="C89" s="2" t="str" cm="1">
        <f t="array" ref="C89">_xlfn.IFS(B89&lt;25, "Youth (16–24)", B89&lt;35, "Young Adults (25–34)", B89&lt;45, "Adults (35–44)", B89&lt;55, "Middle-aged (45–54)")</f>
        <v>Young Adults (25–34)</v>
      </c>
      <c r="D89" t="s">
        <v>11</v>
      </c>
      <c r="E89" s="1">
        <v>8.1</v>
      </c>
      <c r="F89" s="1" t="str" cm="1">
        <f t="array" ref="F89">_xlfn.IFS(E89&lt;3, "Low (0–3 hrs)", E89&lt;6, "Moderate (3–6 hrs)", E89&lt;8, "High (6–8 hrs)", E89&gt;=8, "Very High (8+ hrs)")</f>
        <v>Very High (8+ hrs)</v>
      </c>
      <c r="G89" s="2">
        <v>5</v>
      </c>
      <c r="H89" s="2">
        <v>7</v>
      </c>
      <c r="I89" s="2">
        <v>2</v>
      </c>
      <c r="J89" s="2">
        <v>3</v>
      </c>
      <c r="K89" s="2" t="str" cm="1">
        <f t="array" ref="K89">_xlfn.IFS(Table1[[#This Row],[Exercise_Frequency(week)]]&lt;3, "Beginners (0–2 days)", Table1[[#This Row],[Exercise_Frequency(week)]]&lt;5, "Intermediate (3–4 days)", Table1[[#This Row],[Exercise_Frequency(week)]]&lt;8, "Advanced (5–7 days)")</f>
        <v>Intermediate (3–4 days)</v>
      </c>
      <c r="L89" t="s">
        <v>23</v>
      </c>
      <c r="M89" s="2">
        <v>7</v>
      </c>
    </row>
    <row r="90" spans="1:13" x14ac:dyDescent="0.5">
      <c r="A90" t="s">
        <v>429</v>
      </c>
      <c r="B90" s="2">
        <v>24</v>
      </c>
      <c r="C90" s="2" t="str" cm="1">
        <f t="array" ref="C90">_xlfn.IFS(B90&lt;25, "Youth (16–24)", B90&lt;35, "Young Adults (25–34)", B90&lt;45, "Adults (35–44)", B90&lt;55, "Middle-aged (45–54)")</f>
        <v>Youth (16–24)</v>
      </c>
      <c r="D90" t="s">
        <v>11</v>
      </c>
      <c r="E90" s="1">
        <v>4.2</v>
      </c>
      <c r="F90" s="1" t="str" cm="1">
        <f t="array" ref="F90">_xlfn.IFS(E90&lt;3, "Low (0–3 hrs)", E90&lt;6, "Moderate (3–6 hrs)", E90&lt;8, "High (6–8 hrs)", E90&gt;=8, "Very High (8+ hrs)")</f>
        <v>Moderate (3–6 hrs)</v>
      </c>
      <c r="G90" s="2">
        <v>8</v>
      </c>
      <c r="H90" s="2">
        <v>7</v>
      </c>
      <c r="I90" s="2">
        <v>5</v>
      </c>
      <c r="J90" s="2">
        <v>3</v>
      </c>
      <c r="K90" s="2" t="str" cm="1">
        <f t="array" ref="K90">_xlfn.IFS(Table1[[#This Row],[Exercise_Frequency(week)]]&lt;3, "Beginners (0–2 days)", Table1[[#This Row],[Exercise_Frequency(week)]]&lt;5, "Intermediate (3–4 days)", Table1[[#This Row],[Exercise_Frequency(week)]]&lt;8, "Advanced (5–7 days)")</f>
        <v>Intermediate (3–4 days)</v>
      </c>
      <c r="L90" t="s">
        <v>19</v>
      </c>
      <c r="M90" s="2">
        <v>7</v>
      </c>
    </row>
    <row r="91" spans="1:13" x14ac:dyDescent="0.5">
      <c r="A91" t="s">
        <v>465</v>
      </c>
      <c r="B91" s="2">
        <v>21</v>
      </c>
      <c r="C91" s="2" t="str" cm="1">
        <f t="array" ref="C91">_xlfn.IFS(B91&lt;25, "Youth (16–24)", B91&lt;35, "Young Adults (25–34)", B91&lt;45, "Adults (35–44)", B91&lt;55, "Middle-aged (45–54)")</f>
        <v>Youth (16–24)</v>
      </c>
      <c r="D91" t="s">
        <v>11</v>
      </c>
      <c r="E91" s="1">
        <v>4.4000000000000004</v>
      </c>
      <c r="F91" s="1" t="str" cm="1">
        <f t="array" ref="F91">_xlfn.IFS(E91&lt;3, "Low (0–3 hrs)", E91&lt;6, "Moderate (3–6 hrs)", E91&lt;8, "High (6–8 hrs)", E91&gt;=8, "Very High (8+ hrs)")</f>
        <v>Moderate (3–6 hrs)</v>
      </c>
      <c r="G91" s="2">
        <v>5</v>
      </c>
      <c r="H91" s="2">
        <v>6</v>
      </c>
      <c r="I91" s="2">
        <v>4</v>
      </c>
      <c r="J91" s="2">
        <v>3</v>
      </c>
      <c r="K91" s="2" t="str" cm="1">
        <f t="array" ref="K91">_xlfn.IFS(Table1[[#This Row],[Exercise_Frequency(week)]]&lt;3, "Beginners (0–2 days)", Table1[[#This Row],[Exercise_Frequency(week)]]&lt;5, "Intermediate (3–4 days)", Table1[[#This Row],[Exercise_Frequency(week)]]&lt;8, "Advanced (5–7 days)")</f>
        <v>Intermediate (3–4 days)</v>
      </c>
      <c r="L91" t="s">
        <v>14</v>
      </c>
      <c r="M91" s="2">
        <v>7</v>
      </c>
    </row>
    <row r="92" spans="1:13" x14ac:dyDescent="0.5">
      <c r="A92" t="s">
        <v>483</v>
      </c>
      <c r="B92" s="2">
        <v>25</v>
      </c>
      <c r="C92" s="2" t="str" cm="1">
        <f t="array" ref="C92">_xlfn.IFS(B92&lt;25, "Youth (16–24)", B92&lt;35, "Young Adults (25–34)", B92&lt;45, "Adults (35–44)", B92&lt;55, "Middle-aged (45–54)")</f>
        <v>Young Adults (25–34)</v>
      </c>
      <c r="D92" t="s">
        <v>16</v>
      </c>
      <c r="E92" s="1">
        <v>8.4</v>
      </c>
      <c r="F92" s="1" t="str" cm="1">
        <f t="array" ref="F92">_xlfn.IFS(E92&lt;3, "Low (0–3 hrs)", E92&lt;6, "Moderate (3–6 hrs)", E92&lt;8, "High (6–8 hrs)", E92&gt;=8, "Very High (8+ hrs)")</f>
        <v>Very High (8+ hrs)</v>
      </c>
      <c r="G92" s="2">
        <v>5</v>
      </c>
      <c r="H92" s="2">
        <v>9</v>
      </c>
      <c r="I92" s="2">
        <v>1</v>
      </c>
      <c r="J92" s="2">
        <v>3</v>
      </c>
      <c r="K92" s="2" t="str" cm="1">
        <f t="array" ref="K92">_xlfn.IFS(Table1[[#This Row],[Exercise_Frequency(week)]]&lt;3, "Beginners (0–2 days)", Table1[[#This Row],[Exercise_Frequency(week)]]&lt;5, "Intermediate (3–4 days)", Table1[[#This Row],[Exercise_Frequency(week)]]&lt;8, "Advanced (5–7 days)")</f>
        <v>Intermediate (3–4 days)</v>
      </c>
      <c r="L92" t="s">
        <v>12</v>
      </c>
      <c r="M92" s="2">
        <v>7</v>
      </c>
    </row>
    <row r="93" spans="1:13" x14ac:dyDescent="0.5">
      <c r="A93" t="s">
        <v>494</v>
      </c>
      <c r="B93" s="2">
        <v>43</v>
      </c>
      <c r="C93" s="2" t="str" cm="1">
        <f t="array" ref="C93">_xlfn.IFS(B93&lt;25, "Youth (16–24)", B93&lt;35, "Young Adults (25–34)", B93&lt;45, "Adults (35–44)", B93&lt;55, "Middle-aged (45–54)")</f>
        <v>Adults (35–44)</v>
      </c>
      <c r="D93" t="s">
        <v>16</v>
      </c>
      <c r="E93" s="1">
        <v>5.9</v>
      </c>
      <c r="F93" s="1" t="str" cm="1">
        <f t="array" ref="F93">_xlfn.IFS(E93&lt;3, "Low (0–3 hrs)", E93&lt;6, "Moderate (3–6 hrs)", E93&lt;8, "High (6–8 hrs)", E93&gt;=8, "Very High (8+ hrs)")</f>
        <v>Moderate (3–6 hrs)</v>
      </c>
      <c r="G93" s="2">
        <v>5</v>
      </c>
      <c r="H93" s="2">
        <v>8</v>
      </c>
      <c r="I93" s="2">
        <v>3</v>
      </c>
      <c r="J93" s="2">
        <v>3</v>
      </c>
      <c r="K93" s="2" t="str" cm="1">
        <f t="array" ref="K93">_xlfn.IFS(Table1[[#This Row],[Exercise_Frequency(week)]]&lt;3, "Beginners (0–2 days)", Table1[[#This Row],[Exercise_Frequency(week)]]&lt;5, "Intermediate (3–4 days)", Table1[[#This Row],[Exercise_Frequency(week)]]&lt;8, "Advanced (5–7 days)")</f>
        <v>Intermediate (3–4 days)</v>
      </c>
      <c r="L93" t="s">
        <v>19</v>
      </c>
      <c r="M93" s="2">
        <v>7</v>
      </c>
    </row>
    <row r="94" spans="1:13" x14ac:dyDescent="0.5">
      <c r="A94" t="s">
        <v>25</v>
      </c>
      <c r="B94" s="2">
        <v>39</v>
      </c>
      <c r="C94" s="2" t="str" cm="1">
        <f t="array" ref="C94">_xlfn.IFS(B94&lt;25, "Youth (16–24)", B94&lt;35, "Young Adults (25–34)", B94&lt;45, "Adults (35–44)", B94&lt;55, "Middle-aged (45–54)")</f>
        <v>Adults (35–44)</v>
      </c>
      <c r="D94" t="s">
        <v>16</v>
      </c>
      <c r="E94" s="1">
        <v>6.6</v>
      </c>
      <c r="F94" s="1" t="str" cm="1">
        <f t="array" ref="F94">_xlfn.IFS(E94&lt;3, "Low (0–3 hrs)", E94&lt;6, "Moderate (3–6 hrs)", E94&lt;8, "High (6–8 hrs)", E94&gt;=8, "Very High (8+ hrs)")</f>
        <v>High (6–8 hrs)</v>
      </c>
      <c r="G94" s="2">
        <v>6</v>
      </c>
      <c r="H94" s="2">
        <v>8</v>
      </c>
      <c r="I94" s="2">
        <v>0</v>
      </c>
      <c r="J94" s="2">
        <v>2</v>
      </c>
      <c r="K94" s="2" t="str" cm="1">
        <f t="array" ref="K94">_xlfn.IFS(Table1[[#This Row],[Exercise_Frequency(week)]]&lt;3, "Beginners (0–2 days)", Table1[[#This Row],[Exercise_Frequency(week)]]&lt;5, "Intermediate (3–4 days)", Table1[[#This Row],[Exercise_Frequency(week)]]&lt;8, "Advanced (5–7 days)")</f>
        <v>Beginners (0–2 days)</v>
      </c>
      <c r="L94" t="s">
        <v>12</v>
      </c>
      <c r="M94" s="2">
        <v>7</v>
      </c>
    </row>
    <row r="95" spans="1:13" x14ac:dyDescent="0.5">
      <c r="A95" t="s">
        <v>37</v>
      </c>
      <c r="B95" s="2">
        <v>31</v>
      </c>
      <c r="C95" s="2" t="str" cm="1">
        <f t="array" ref="C95">_xlfn.IFS(B95&lt;25, "Youth (16–24)", B95&lt;35, "Young Adults (25–34)", B95&lt;45, "Adults (35–44)", B95&lt;55, "Middle-aged (45–54)")</f>
        <v>Young Adults (25–34)</v>
      </c>
      <c r="D95" t="s">
        <v>16</v>
      </c>
      <c r="E95" s="1">
        <v>7.8</v>
      </c>
      <c r="F95" s="1" t="str" cm="1">
        <f t="array" ref="F95">_xlfn.IFS(E95&lt;3, "Low (0–3 hrs)", E95&lt;6, "Moderate (3–6 hrs)", E95&lt;8, "High (6–8 hrs)", E95&gt;=8, "Very High (8+ hrs)")</f>
        <v>High (6–8 hrs)</v>
      </c>
      <c r="G95" s="2">
        <v>5</v>
      </c>
      <c r="H95" s="2">
        <v>8</v>
      </c>
      <c r="I95" s="2">
        <v>1</v>
      </c>
      <c r="J95" s="2">
        <v>2</v>
      </c>
      <c r="K95" s="2" t="str" cm="1">
        <f t="array" ref="K95">_xlfn.IFS(Table1[[#This Row],[Exercise_Frequency(week)]]&lt;3, "Beginners (0–2 days)", Table1[[#This Row],[Exercise_Frequency(week)]]&lt;5, "Intermediate (3–4 days)", Table1[[#This Row],[Exercise_Frequency(week)]]&lt;8, "Advanced (5–7 days)")</f>
        <v>Beginners (0–2 days)</v>
      </c>
      <c r="L95" t="s">
        <v>17</v>
      </c>
      <c r="M95" s="2">
        <v>7</v>
      </c>
    </row>
    <row r="96" spans="1:13" x14ac:dyDescent="0.5">
      <c r="A96" t="s">
        <v>62</v>
      </c>
      <c r="B96" s="2">
        <v>30</v>
      </c>
      <c r="C96" s="2" t="str" cm="1">
        <f t="array" ref="C96">_xlfn.IFS(B96&lt;25, "Youth (16–24)", B96&lt;35, "Young Adults (25–34)", B96&lt;45, "Adults (35–44)", B96&lt;55, "Middle-aged (45–54)")</f>
        <v>Young Adults (25–34)</v>
      </c>
      <c r="D96" t="s">
        <v>16</v>
      </c>
      <c r="E96" s="1">
        <v>6.7</v>
      </c>
      <c r="F96" s="1" t="str" cm="1">
        <f t="array" ref="F96">_xlfn.IFS(E96&lt;3, "Low (0–3 hrs)", E96&lt;6, "Moderate (3–6 hrs)", E96&lt;8, "High (6–8 hrs)", E96&gt;=8, "Very High (8+ hrs)")</f>
        <v>High (6–8 hrs)</v>
      </c>
      <c r="G96" s="2">
        <v>6</v>
      </c>
      <c r="H96" s="2">
        <v>8</v>
      </c>
      <c r="I96" s="2">
        <v>6</v>
      </c>
      <c r="J96" s="2">
        <v>2</v>
      </c>
      <c r="K96" s="2" t="str" cm="1">
        <f t="array" ref="K96">_xlfn.IFS(Table1[[#This Row],[Exercise_Frequency(week)]]&lt;3, "Beginners (0–2 days)", Table1[[#This Row],[Exercise_Frequency(week)]]&lt;5, "Intermediate (3–4 days)", Table1[[#This Row],[Exercise_Frequency(week)]]&lt;8, "Advanced (5–7 days)")</f>
        <v>Beginners (0–2 days)</v>
      </c>
      <c r="L96" t="s">
        <v>17</v>
      </c>
      <c r="M96" s="2">
        <v>7</v>
      </c>
    </row>
    <row r="97" spans="1:13" x14ac:dyDescent="0.5">
      <c r="A97" t="s">
        <v>77</v>
      </c>
      <c r="B97" s="2">
        <v>24</v>
      </c>
      <c r="C97" s="2" t="str" cm="1">
        <f t="array" ref="C97">_xlfn.IFS(B97&lt;25, "Youth (16–24)", B97&lt;35, "Young Adults (25–34)", B97&lt;45, "Adults (35–44)", B97&lt;55, "Middle-aged (45–54)")</f>
        <v>Youth (16–24)</v>
      </c>
      <c r="D97" t="s">
        <v>16</v>
      </c>
      <c r="E97" s="1">
        <v>4.8</v>
      </c>
      <c r="F97" s="1" t="str" cm="1">
        <f t="array" ref="F97">_xlfn.IFS(E97&lt;3, "Low (0–3 hrs)", E97&lt;6, "Moderate (3–6 hrs)", E97&lt;8, "High (6–8 hrs)", E97&gt;=8, "Very High (8+ hrs)")</f>
        <v>Moderate (3–6 hrs)</v>
      </c>
      <c r="G97" s="2">
        <v>6</v>
      </c>
      <c r="H97" s="2">
        <v>7</v>
      </c>
      <c r="I97" s="2">
        <v>5</v>
      </c>
      <c r="J97" s="2">
        <v>2</v>
      </c>
      <c r="K97" s="2" t="str" cm="1">
        <f t="array" ref="K97">_xlfn.IFS(Table1[[#This Row],[Exercise_Frequency(week)]]&lt;3, "Beginners (0–2 days)", Table1[[#This Row],[Exercise_Frequency(week)]]&lt;5, "Intermediate (3–4 days)", Table1[[#This Row],[Exercise_Frequency(week)]]&lt;8, "Advanced (5–7 days)")</f>
        <v>Beginners (0–2 days)</v>
      </c>
      <c r="L97" t="s">
        <v>17</v>
      </c>
      <c r="M97" s="2">
        <v>7</v>
      </c>
    </row>
    <row r="98" spans="1:13" x14ac:dyDescent="0.5">
      <c r="A98" t="s">
        <v>87</v>
      </c>
      <c r="B98" s="2">
        <v>22</v>
      </c>
      <c r="C98" s="2" t="str" cm="1">
        <f t="array" ref="C98">_xlfn.IFS(B98&lt;25, "Youth (16–24)", B98&lt;35, "Young Adults (25–34)", B98&lt;45, "Adults (35–44)", B98&lt;55, "Middle-aged (45–54)")</f>
        <v>Youth (16–24)</v>
      </c>
      <c r="D98" t="s">
        <v>11</v>
      </c>
      <c r="E98" s="1">
        <v>5.8</v>
      </c>
      <c r="F98" s="1" t="str" cm="1">
        <f t="array" ref="F98">_xlfn.IFS(E98&lt;3, "Low (0–3 hrs)", E98&lt;6, "Moderate (3–6 hrs)", E98&lt;8, "High (6–8 hrs)", E98&gt;=8, "Very High (8+ hrs)")</f>
        <v>Moderate (3–6 hrs)</v>
      </c>
      <c r="G98" s="2">
        <v>6</v>
      </c>
      <c r="H98" s="2">
        <v>8</v>
      </c>
      <c r="I98" s="2">
        <v>3</v>
      </c>
      <c r="J98" s="2">
        <v>2</v>
      </c>
      <c r="K98" s="2" t="str" cm="1">
        <f t="array" ref="K98">_xlfn.IFS(Table1[[#This Row],[Exercise_Frequency(week)]]&lt;3, "Beginners (0–2 days)", Table1[[#This Row],[Exercise_Frequency(week)]]&lt;5, "Intermediate (3–4 days)", Table1[[#This Row],[Exercise_Frequency(week)]]&lt;8, "Advanced (5–7 days)")</f>
        <v>Beginners (0–2 days)</v>
      </c>
      <c r="L98" t="s">
        <v>19</v>
      </c>
      <c r="M98" s="2">
        <v>7</v>
      </c>
    </row>
    <row r="99" spans="1:13" x14ac:dyDescent="0.5">
      <c r="A99" t="s">
        <v>108</v>
      </c>
      <c r="B99" s="2">
        <v>28</v>
      </c>
      <c r="C99" s="2" t="str" cm="1">
        <f t="array" ref="C99">_xlfn.IFS(B99&lt;25, "Youth (16–24)", B99&lt;35, "Young Adults (25–34)", B99&lt;45, "Adults (35–44)", B99&lt;55, "Middle-aged (45–54)")</f>
        <v>Young Adults (25–34)</v>
      </c>
      <c r="D99" t="s">
        <v>11</v>
      </c>
      <c r="E99" s="1">
        <v>6.3</v>
      </c>
      <c r="F99" s="1" t="str" cm="1">
        <f t="array" ref="F99">_xlfn.IFS(E99&lt;3, "Low (0–3 hrs)", E99&lt;6, "Moderate (3–6 hrs)", E99&lt;8, "High (6–8 hrs)", E99&gt;=8, "Very High (8+ hrs)")</f>
        <v>High (6–8 hrs)</v>
      </c>
      <c r="G99" s="2">
        <v>5</v>
      </c>
      <c r="H99" s="2">
        <v>7</v>
      </c>
      <c r="I99" s="2">
        <v>2</v>
      </c>
      <c r="J99" s="2">
        <v>2</v>
      </c>
      <c r="K99" s="2" t="str" cm="1">
        <f t="array" ref="K99">_xlfn.IFS(Table1[[#This Row],[Exercise_Frequency(week)]]&lt;3, "Beginners (0–2 days)", Table1[[#This Row],[Exercise_Frequency(week)]]&lt;5, "Intermediate (3–4 days)", Table1[[#This Row],[Exercise_Frequency(week)]]&lt;8, "Advanced (5–7 days)")</f>
        <v>Beginners (0–2 days)</v>
      </c>
      <c r="L99" t="s">
        <v>12</v>
      </c>
      <c r="M99" s="2">
        <v>7</v>
      </c>
    </row>
    <row r="100" spans="1:13" x14ac:dyDescent="0.5">
      <c r="A100" t="s">
        <v>120</v>
      </c>
      <c r="B100" s="2">
        <v>43</v>
      </c>
      <c r="C100" s="2" t="str" cm="1">
        <f t="array" ref="C100">_xlfn.IFS(B100&lt;25, "Youth (16–24)", B100&lt;35, "Young Adults (25–34)", B100&lt;45, "Adults (35–44)", B100&lt;55, "Middle-aged (45–54)")</f>
        <v>Adults (35–44)</v>
      </c>
      <c r="D100" t="s">
        <v>11</v>
      </c>
      <c r="E100" s="1">
        <v>6.4</v>
      </c>
      <c r="F100" s="1" t="str" cm="1">
        <f t="array" ref="F100">_xlfn.IFS(E100&lt;3, "Low (0–3 hrs)", E100&lt;6, "Moderate (3–6 hrs)", E100&lt;8, "High (6–8 hrs)", E100&gt;=8, "Very High (8+ hrs)")</f>
        <v>High (6–8 hrs)</v>
      </c>
      <c r="G100" s="2">
        <v>6</v>
      </c>
      <c r="H100" s="2">
        <v>7</v>
      </c>
      <c r="I100" s="2">
        <v>4</v>
      </c>
      <c r="J100" s="2">
        <v>2</v>
      </c>
      <c r="K100" s="2" t="str" cm="1">
        <f t="array" ref="K100">_xlfn.IFS(Table1[[#This Row],[Exercise_Frequency(week)]]&lt;3, "Beginners (0–2 days)", Table1[[#This Row],[Exercise_Frequency(week)]]&lt;5, "Intermediate (3–4 days)", Table1[[#This Row],[Exercise_Frequency(week)]]&lt;8, "Advanced (5–7 days)")</f>
        <v>Beginners (0–2 days)</v>
      </c>
      <c r="L100" t="s">
        <v>14</v>
      </c>
      <c r="M100" s="2">
        <v>7</v>
      </c>
    </row>
    <row r="101" spans="1:13" x14ac:dyDescent="0.5">
      <c r="A101" t="s">
        <v>184</v>
      </c>
      <c r="B101" s="2">
        <v>48</v>
      </c>
      <c r="C101" s="2" t="str" cm="1">
        <f t="array" ref="C101">_xlfn.IFS(B101&lt;25, "Youth (16–24)", B101&lt;35, "Young Adults (25–34)", B101&lt;45, "Adults (35–44)", B101&lt;55, "Middle-aged (45–54)")</f>
        <v>Middle-aged (45–54)</v>
      </c>
      <c r="D101" t="s">
        <v>11</v>
      </c>
      <c r="E101" s="1">
        <v>6.8</v>
      </c>
      <c r="F101" s="1" t="str" cm="1">
        <f t="array" ref="F101">_xlfn.IFS(E101&lt;3, "Low (0–3 hrs)", E101&lt;6, "Moderate (3–6 hrs)", E101&lt;8, "High (6–8 hrs)", E101&gt;=8, "Very High (8+ hrs)")</f>
        <v>High (6–8 hrs)</v>
      </c>
      <c r="G101" s="2">
        <v>4</v>
      </c>
      <c r="H101" s="2">
        <v>7</v>
      </c>
      <c r="I101" s="2">
        <v>4</v>
      </c>
      <c r="J101" s="2">
        <v>2</v>
      </c>
      <c r="K101" s="2" t="str" cm="1">
        <f t="array" ref="K101">_xlfn.IFS(Table1[[#This Row],[Exercise_Frequency(week)]]&lt;3, "Beginners (0–2 days)", Table1[[#This Row],[Exercise_Frequency(week)]]&lt;5, "Intermediate (3–4 days)", Table1[[#This Row],[Exercise_Frequency(week)]]&lt;8, "Advanced (5–7 days)")</f>
        <v>Beginners (0–2 days)</v>
      </c>
      <c r="L101" t="s">
        <v>14</v>
      </c>
      <c r="M101" s="2">
        <v>7</v>
      </c>
    </row>
    <row r="102" spans="1:13" x14ac:dyDescent="0.5">
      <c r="A102" t="s">
        <v>208</v>
      </c>
      <c r="B102" s="2">
        <v>26</v>
      </c>
      <c r="C102" s="2" t="str" cm="1">
        <f t="array" ref="C102">_xlfn.IFS(B102&lt;25, "Youth (16–24)", B102&lt;35, "Young Adults (25–34)", B102&lt;45, "Adults (35–44)", B102&lt;55, "Middle-aged (45–54)")</f>
        <v>Young Adults (25–34)</v>
      </c>
      <c r="D102" t="s">
        <v>11</v>
      </c>
      <c r="E102" s="1">
        <v>7.3</v>
      </c>
      <c r="F102" s="1" t="str" cm="1">
        <f t="array" ref="F102">_xlfn.IFS(E102&lt;3, "Low (0–3 hrs)", E102&lt;6, "Moderate (3–6 hrs)", E102&lt;8, "High (6–8 hrs)", E102&gt;=8, "Very High (8+ hrs)")</f>
        <v>High (6–8 hrs)</v>
      </c>
      <c r="G102" s="2">
        <v>5</v>
      </c>
      <c r="H102" s="2">
        <v>8</v>
      </c>
      <c r="I102" s="2">
        <v>2</v>
      </c>
      <c r="J102" s="2">
        <v>2</v>
      </c>
      <c r="K102" s="2" t="str" cm="1">
        <f t="array" ref="K102">_xlfn.IFS(Table1[[#This Row],[Exercise_Frequency(week)]]&lt;3, "Beginners (0–2 days)", Table1[[#This Row],[Exercise_Frequency(week)]]&lt;5, "Intermediate (3–4 days)", Table1[[#This Row],[Exercise_Frequency(week)]]&lt;8, "Advanced (5–7 days)")</f>
        <v>Beginners (0–2 days)</v>
      </c>
      <c r="L102" t="s">
        <v>19</v>
      </c>
      <c r="M102" s="2">
        <v>7</v>
      </c>
    </row>
    <row r="103" spans="1:13" x14ac:dyDescent="0.5">
      <c r="A103" t="s">
        <v>211</v>
      </c>
      <c r="B103" s="2">
        <v>40</v>
      </c>
      <c r="C103" s="2" t="str" cm="1">
        <f t="array" ref="C103">_xlfn.IFS(B103&lt;25, "Youth (16–24)", B103&lt;35, "Young Adults (25–34)", B103&lt;45, "Adults (35–44)", B103&lt;55, "Middle-aged (45–54)")</f>
        <v>Adults (35–44)</v>
      </c>
      <c r="D103" t="s">
        <v>11</v>
      </c>
      <c r="E103" s="1">
        <v>6.4</v>
      </c>
      <c r="F103" s="1" t="str" cm="1">
        <f t="array" ref="F103">_xlfn.IFS(E103&lt;3, "Low (0–3 hrs)", E103&lt;6, "Moderate (3–6 hrs)", E103&lt;8, "High (6–8 hrs)", E103&gt;=8, "Very High (8+ hrs)")</f>
        <v>High (6–8 hrs)</v>
      </c>
      <c r="G103" s="2">
        <v>5</v>
      </c>
      <c r="H103" s="2">
        <v>8</v>
      </c>
      <c r="I103" s="2">
        <v>1</v>
      </c>
      <c r="J103" s="2">
        <v>2</v>
      </c>
      <c r="K103" s="2" t="str" cm="1">
        <f t="array" ref="K103">_xlfn.IFS(Table1[[#This Row],[Exercise_Frequency(week)]]&lt;3, "Beginners (0–2 days)", Table1[[#This Row],[Exercise_Frequency(week)]]&lt;5, "Intermediate (3–4 days)", Table1[[#This Row],[Exercise_Frequency(week)]]&lt;8, "Advanced (5–7 days)")</f>
        <v>Beginners (0–2 days)</v>
      </c>
      <c r="L103" t="s">
        <v>13</v>
      </c>
      <c r="M103" s="2">
        <v>7</v>
      </c>
    </row>
    <row r="104" spans="1:13" x14ac:dyDescent="0.5">
      <c r="A104" t="s">
        <v>227</v>
      </c>
      <c r="B104" s="2">
        <v>27</v>
      </c>
      <c r="C104" s="2" t="str" cm="1">
        <f t="array" ref="C104">_xlfn.IFS(B104&lt;25, "Youth (16–24)", B104&lt;35, "Young Adults (25–34)", B104&lt;45, "Adults (35–44)", B104&lt;55, "Middle-aged (45–54)")</f>
        <v>Young Adults (25–34)</v>
      </c>
      <c r="D104" t="s">
        <v>11</v>
      </c>
      <c r="E104" s="1">
        <v>6.6</v>
      </c>
      <c r="F104" s="1" t="str" cm="1">
        <f t="array" ref="F104">_xlfn.IFS(E104&lt;3, "Low (0–3 hrs)", E104&lt;6, "Moderate (3–6 hrs)", E104&lt;8, "High (6–8 hrs)", E104&gt;=8, "Very High (8+ hrs)")</f>
        <v>High (6–8 hrs)</v>
      </c>
      <c r="G104" s="2">
        <v>5</v>
      </c>
      <c r="H104" s="2">
        <v>7</v>
      </c>
      <c r="I104" s="2">
        <v>5</v>
      </c>
      <c r="J104" s="2">
        <v>2</v>
      </c>
      <c r="K104" s="2" t="str" cm="1">
        <f t="array" ref="K104">_xlfn.IFS(Table1[[#This Row],[Exercise_Frequency(week)]]&lt;3, "Beginners (0–2 days)", Table1[[#This Row],[Exercise_Frequency(week)]]&lt;5, "Intermediate (3–4 days)", Table1[[#This Row],[Exercise_Frequency(week)]]&lt;8, "Advanced (5–7 days)")</f>
        <v>Beginners (0–2 days)</v>
      </c>
      <c r="L104" t="s">
        <v>14</v>
      </c>
      <c r="M104" s="2">
        <v>7</v>
      </c>
    </row>
    <row r="105" spans="1:13" x14ac:dyDescent="0.5">
      <c r="A105" t="s">
        <v>241</v>
      </c>
      <c r="B105" s="2">
        <v>34</v>
      </c>
      <c r="C105" s="2" t="str" cm="1">
        <f t="array" ref="C105">_xlfn.IFS(B105&lt;25, "Youth (16–24)", B105&lt;35, "Young Adults (25–34)", B105&lt;45, "Adults (35–44)", B105&lt;55, "Middle-aged (45–54)")</f>
        <v>Young Adults (25–34)</v>
      </c>
      <c r="D105" t="s">
        <v>11</v>
      </c>
      <c r="E105" s="1">
        <v>7.9</v>
      </c>
      <c r="F105" s="1" t="str" cm="1">
        <f t="array" ref="F105">_xlfn.IFS(E105&lt;3, "Low (0–3 hrs)", E105&lt;6, "Moderate (3–6 hrs)", E105&lt;8, "High (6–8 hrs)", E105&gt;=8, "Very High (8+ hrs)")</f>
        <v>High (6–8 hrs)</v>
      </c>
      <c r="G105" s="2">
        <v>6</v>
      </c>
      <c r="H105" s="2">
        <v>8</v>
      </c>
      <c r="I105" s="2">
        <v>4</v>
      </c>
      <c r="J105" s="2">
        <v>2</v>
      </c>
      <c r="K105" s="2" t="str" cm="1">
        <f t="array" ref="K105">_xlfn.IFS(Table1[[#This Row],[Exercise_Frequency(week)]]&lt;3, "Beginners (0–2 days)", Table1[[#This Row],[Exercise_Frequency(week)]]&lt;5, "Intermediate (3–4 days)", Table1[[#This Row],[Exercise_Frequency(week)]]&lt;8, "Advanced (5–7 days)")</f>
        <v>Beginners (0–2 days)</v>
      </c>
      <c r="L105" t="s">
        <v>23</v>
      </c>
      <c r="M105" s="2">
        <v>7</v>
      </c>
    </row>
    <row r="106" spans="1:13" x14ac:dyDescent="0.5">
      <c r="A106" t="s">
        <v>261</v>
      </c>
      <c r="B106" s="2">
        <v>39</v>
      </c>
      <c r="C106" s="2" t="str" cm="1">
        <f t="array" ref="C106">_xlfn.IFS(B106&lt;25, "Youth (16–24)", B106&lt;35, "Young Adults (25–34)", B106&lt;45, "Adults (35–44)", B106&lt;55, "Middle-aged (45–54)")</f>
        <v>Adults (35–44)</v>
      </c>
      <c r="D106" t="s">
        <v>16</v>
      </c>
      <c r="E106" s="1">
        <v>7.1</v>
      </c>
      <c r="F106" s="1" t="str" cm="1">
        <f t="array" ref="F106">_xlfn.IFS(E106&lt;3, "Low (0–3 hrs)", E106&lt;6, "Moderate (3–6 hrs)", E106&lt;8, "High (6–8 hrs)", E106&gt;=8, "Very High (8+ hrs)")</f>
        <v>High (6–8 hrs)</v>
      </c>
      <c r="G106" s="2">
        <v>4</v>
      </c>
      <c r="H106" s="2">
        <v>8</v>
      </c>
      <c r="I106" s="2">
        <v>0</v>
      </c>
      <c r="J106" s="2">
        <v>2</v>
      </c>
      <c r="K106" s="2" t="str" cm="1">
        <f t="array" ref="K106">_xlfn.IFS(Table1[[#This Row],[Exercise_Frequency(week)]]&lt;3, "Beginners (0–2 days)", Table1[[#This Row],[Exercise_Frequency(week)]]&lt;5, "Intermediate (3–4 days)", Table1[[#This Row],[Exercise_Frequency(week)]]&lt;8, "Advanced (5–7 days)")</f>
        <v>Beginners (0–2 days)</v>
      </c>
      <c r="L106" t="s">
        <v>12</v>
      </c>
      <c r="M106" s="2">
        <v>7</v>
      </c>
    </row>
    <row r="107" spans="1:13" x14ac:dyDescent="0.5">
      <c r="A107" t="s">
        <v>281</v>
      </c>
      <c r="B107" s="2">
        <v>31</v>
      </c>
      <c r="C107" s="2" t="str" cm="1">
        <f t="array" ref="C107">_xlfn.IFS(B107&lt;25, "Youth (16–24)", B107&lt;35, "Young Adults (25–34)", B107&lt;45, "Adults (35–44)", B107&lt;55, "Middle-aged (45–54)")</f>
        <v>Young Adults (25–34)</v>
      </c>
      <c r="D107" t="s">
        <v>11</v>
      </c>
      <c r="E107" s="1">
        <v>5.4</v>
      </c>
      <c r="F107" s="1" t="str" cm="1">
        <f t="array" ref="F107">_xlfn.IFS(E107&lt;3, "Low (0–3 hrs)", E107&lt;6, "Moderate (3–6 hrs)", E107&lt;8, "High (6–8 hrs)", E107&gt;=8, "Very High (8+ hrs)")</f>
        <v>Moderate (3–6 hrs)</v>
      </c>
      <c r="G107" s="2">
        <v>5</v>
      </c>
      <c r="H107" s="2">
        <v>8</v>
      </c>
      <c r="I107" s="2">
        <v>5</v>
      </c>
      <c r="J107" s="2">
        <v>2</v>
      </c>
      <c r="K107" s="2" t="str" cm="1">
        <f t="array" ref="K107">_xlfn.IFS(Table1[[#This Row],[Exercise_Frequency(week)]]&lt;3, "Beginners (0–2 days)", Table1[[#This Row],[Exercise_Frequency(week)]]&lt;5, "Intermediate (3–4 days)", Table1[[#This Row],[Exercise_Frequency(week)]]&lt;8, "Advanced (5–7 days)")</f>
        <v>Beginners (0–2 days)</v>
      </c>
      <c r="L107" t="s">
        <v>23</v>
      </c>
      <c r="M107" s="2">
        <v>7</v>
      </c>
    </row>
    <row r="108" spans="1:13" x14ac:dyDescent="0.5">
      <c r="A108" t="s">
        <v>285</v>
      </c>
      <c r="B108" s="2">
        <v>30</v>
      </c>
      <c r="C108" s="2" t="str" cm="1">
        <f t="array" ref="C108">_xlfn.IFS(B108&lt;25, "Youth (16–24)", B108&lt;35, "Young Adults (25–34)", B108&lt;45, "Adults (35–44)", B108&lt;55, "Middle-aged (45–54)")</f>
        <v>Young Adults (25–34)</v>
      </c>
      <c r="D108" t="s">
        <v>16</v>
      </c>
      <c r="E108" s="1">
        <v>5.9</v>
      </c>
      <c r="F108" s="1" t="str" cm="1">
        <f t="array" ref="F108">_xlfn.IFS(E108&lt;3, "Low (0–3 hrs)", E108&lt;6, "Moderate (3–6 hrs)", E108&lt;8, "High (6–8 hrs)", E108&gt;=8, "Very High (8+ hrs)")</f>
        <v>Moderate (3–6 hrs)</v>
      </c>
      <c r="G108" s="2">
        <v>6</v>
      </c>
      <c r="H108" s="2">
        <v>9</v>
      </c>
      <c r="I108" s="2">
        <v>3</v>
      </c>
      <c r="J108" s="2">
        <v>2</v>
      </c>
      <c r="K108" s="2" t="str" cm="1">
        <f t="array" ref="K108">_xlfn.IFS(Table1[[#This Row],[Exercise_Frequency(week)]]&lt;3, "Beginners (0–2 days)", Table1[[#This Row],[Exercise_Frequency(week)]]&lt;5, "Intermediate (3–4 days)", Table1[[#This Row],[Exercise_Frequency(week)]]&lt;8, "Advanced (5–7 days)")</f>
        <v>Beginners (0–2 days)</v>
      </c>
      <c r="L108" t="s">
        <v>14</v>
      </c>
      <c r="M108" s="2">
        <v>7</v>
      </c>
    </row>
    <row r="109" spans="1:13" x14ac:dyDescent="0.5">
      <c r="A109" t="s">
        <v>330</v>
      </c>
      <c r="B109" s="2">
        <v>29</v>
      </c>
      <c r="C109" s="2" t="str" cm="1">
        <f t="array" ref="C109">_xlfn.IFS(B109&lt;25, "Youth (16–24)", B109&lt;35, "Young Adults (25–34)", B109&lt;45, "Adults (35–44)", B109&lt;55, "Middle-aged (45–54)")</f>
        <v>Young Adults (25–34)</v>
      </c>
      <c r="D109" t="s">
        <v>11</v>
      </c>
      <c r="E109" s="1">
        <v>6</v>
      </c>
      <c r="F109" s="1" t="str" cm="1">
        <f t="array" ref="F109">_xlfn.IFS(E109&lt;3, "Low (0–3 hrs)", E109&lt;6, "Moderate (3–6 hrs)", E109&lt;8, "High (6–8 hrs)", E109&gt;=8, "Very High (8+ hrs)")</f>
        <v>High (6–8 hrs)</v>
      </c>
      <c r="G109" s="2">
        <v>8</v>
      </c>
      <c r="H109" s="2">
        <v>7</v>
      </c>
      <c r="I109" s="2">
        <v>3</v>
      </c>
      <c r="J109" s="2">
        <v>2</v>
      </c>
      <c r="K109" s="2" t="str" cm="1">
        <f t="array" ref="K109">_xlfn.IFS(Table1[[#This Row],[Exercise_Frequency(week)]]&lt;3, "Beginners (0–2 days)", Table1[[#This Row],[Exercise_Frequency(week)]]&lt;5, "Intermediate (3–4 days)", Table1[[#This Row],[Exercise_Frequency(week)]]&lt;8, "Advanced (5–7 days)")</f>
        <v>Beginners (0–2 days)</v>
      </c>
      <c r="L109" t="s">
        <v>12</v>
      </c>
      <c r="M109" s="2">
        <v>7</v>
      </c>
    </row>
    <row r="110" spans="1:13" x14ac:dyDescent="0.5">
      <c r="A110" t="s">
        <v>337</v>
      </c>
      <c r="B110" s="2">
        <v>41</v>
      </c>
      <c r="C110" s="2" t="str" cm="1">
        <f t="array" ref="C110">_xlfn.IFS(B110&lt;25, "Youth (16–24)", B110&lt;35, "Young Adults (25–34)", B110&lt;45, "Adults (35–44)", B110&lt;55, "Middle-aged (45–54)")</f>
        <v>Adults (35–44)</v>
      </c>
      <c r="D110" t="s">
        <v>16</v>
      </c>
      <c r="E110" s="1">
        <v>9.1</v>
      </c>
      <c r="F110" s="1" t="str" cm="1">
        <f t="array" ref="F110">_xlfn.IFS(E110&lt;3, "Low (0–3 hrs)", E110&lt;6, "Moderate (3–6 hrs)", E110&lt;8, "High (6–8 hrs)", E110&gt;=8, "Very High (8+ hrs)")</f>
        <v>Very High (8+ hrs)</v>
      </c>
      <c r="G110" s="2">
        <v>4</v>
      </c>
      <c r="H110" s="2">
        <v>9</v>
      </c>
      <c r="I110" s="2">
        <v>4</v>
      </c>
      <c r="J110" s="2">
        <v>2</v>
      </c>
      <c r="K110" s="2" t="str" cm="1">
        <f t="array" ref="K110">_xlfn.IFS(Table1[[#This Row],[Exercise_Frequency(week)]]&lt;3, "Beginners (0–2 days)", Table1[[#This Row],[Exercise_Frequency(week)]]&lt;5, "Intermediate (3–4 days)", Table1[[#This Row],[Exercise_Frequency(week)]]&lt;8, "Advanced (5–7 days)")</f>
        <v>Beginners (0–2 days)</v>
      </c>
      <c r="L110" t="s">
        <v>23</v>
      </c>
      <c r="M110" s="2">
        <v>7</v>
      </c>
    </row>
    <row r="111" spans="1:13" x14ac:dyDescent="0.5">
      <c r="A111" t="s">
        <v>356</v>
      </c>
      <c r="B111" s="2">
        <v>47</v>
      </c>
      <c r="C111" s="2" t="str" cm="1">
        <f t="array" ref="C111">_xlfn.IFS(B111&lt;25, "Youth (16–24)", B111&lt;35, "Young Adults (25–34)", B111&lt;45, "Adults (35–44)", B111&lt;55, "Middle-aged (45–54)")</f>
        <v>Middle-aged (45–54)</v>
      </c>
      <c r="D111" t="s">
        <v>11</v>
      </c>
      <c r="E111" s="1">
        <v>7.4</v>
      </c>
      <c r="F111" s="1" t="str" cm="1">
        <f t="array" ref="F111">_xlfn.IFS(E111&lt;3, "Low (0–3 hrs)", E111&lt;6, "Moderate (3–6 hrs)", E111&lt;8, "High (6–8 hrs)", E111&gt;=8, "Very High (8+ hrs)")</f>
        <v>High (6–8 hrs)</v>
      </c>
      <c r="G111" s="2">
        <v>6</v>
      </c>
      <c r="H111" s="2">
        <v>7</v>
      </c>
      <c r="I111" s="2">
        <v>5</v>
      </c>
      <c r="J111" s="2">
        <v>2</v>
      </c>
      <c r="K111" s="2" t="str" cm="1">
        <f t="array" ref="K111">_xlfn.IFS(Table1[[#This Row],[Exercise_Frequency(week)]]&lt;3, "Beginners (0–2 days)", Table1[[#This Row],[Exercise_Frequency(week)]]&lt;5, "Intermediate (3–4 days)", Table1[[#This Row],[Exercise_Frequency(week)]]&lt;8, "Advanced (5–7 days)")</f>
        <v>Beginners (0–2 days)</v>
      </c>
      <c r="L111" t="s">
        <v>13</v>
      </c>
      <c r="M111" s="2">
        <v>7</v>
      </c>
    </row>
    <row r="112" spans="1:13" x14ac:dyDescent="0.5">
      <c r="A112" t="s">
        <v>367</v>
      </c>
      <c r="B112" s="2">
        <v>25</v>
      </c>
      <c r="C112" s="2" t="str" cm="1">
        <f t="array" ref="C112">_xlfn.IFS(B112&lt;25, "Youth (16–24)", B112&lt;35, "Young Adults (25–34)", B112&lt;45, "Adults (35–44)", B112&lt;55, "Middle-aged (45–54)")</f>
        <v>Young Adults (25–34)</v>
      </c>
      <c r="D112" t="s">
        <v>11</v>
      </c>
      <c r="E112" s="1">
        <v>8.3000000000000007</v>
      </c>
      <c r="F112" s="1" t="str" cm="1">
        <f t="array" ref="F112">_xlfn.IFS(E112&lt;3, "Low (0–3 hrs)", E112&lt;6, "Moderate (3–6 hrs)", E112&lt;8, "High (6–8 hrs)", E112&gt;=8, "Very High (8+ hrs)")</f>
        <v>Very High (8+ hrs)</v>
      </c>
      <c r="G112" s="2">
        <v>5</v>
      </c>
      <c r="H112" s="2">
        <v>8</v>
      </c>
      <c r="I112" s="2">
        <v>4</v>
      </c>
      <c r="J112" s="2">
        <v>2</v>
      </c>
      <c r="K112" s="2" t="str" cm="1">
        <f t="array" ref="K112">_xlfn.IFS(Table1[[#This Row],[Exercise_Frequency(week)]]&lt;3, "Beginners (0–2 days)", Table1[[#This Row],[Exercise_Frequency(week)]]&lt;5, "Intermediate (3–4 days)", Table1[[#This Row],[Exercise_Frequency(week)]]&lt;8, "Advanced (5–7 days)")</f>
        <v>Beginners (0–2 days)</v>
      </c>
      <c r="L112" t="s">
        <v>12</v>
      </c>
      <c r="M112" s="2">
        <v>7</v>
      </c>
    </row>
    <row r="113" spans="1:13" x14ac:dyDescent="0.5">
      <c r="A113" t="s">
        <v>431</v>
      </c>
      <c r="B113" s="2">
        <v>22</v>
      </c>
      <c r="C113" s="2" t="str" cm="1">
        <f t="array" ref="C113">_xlfn.IFS(B113&lt;25, "Youth (16–24)", B113&lt;35, "Young Adults (25–34)", B113&lt;45, "Adults (35–44)", B113&lt;55, "Middle-aged (45–54)")</f>
        <v>Youth (16–24)</v>
      </c>
      <c r="D113" t="s">
        <v>16</v>
      </c>
      <c r="E113" s="1">
        <v>8.8000000000000007</v>
      </c>
      <c r="F113" s="1" t="str" cm="1">
        <f t="array" ref="F113">_xlfn.IFS(E113&lt;3, "Low (0–3 hrs)", E113&lt;6, "Moderate (3–6 hrs)", E113&lt;8, "High (6–8 hrs)", E113&gt;=8, "Very High (8+ hrs)")</f>
        <v>Very High (8+ hrs)</v>
      </c>
      <c r="G113" s="2">
        <v>2</v>
      </c>
      <c r="H113" s="2">
        <v>9</v>
      </c>
      <c r="I113" s="2">
        <v>4</v>
      </c>
      <c r="J113" s="2">
        <v>2</v>
      </c>
      <c r="K113" s="2" t="str" cm="1">
        <f t="array" ref="K113">_xlfn.IFS(Table1[[#This Row],[Exercise_Frequency(week)]]&lt;3, "Beginners (0–2 days)", Table1[[#This Row],[Exercise_Frequency(week)]]&lt;5, "Intermediate (3–4 days)", Table1[[#This Row],[Exercise_Frequency(week)]]&lt;8, "Advanced (5–7 days)")</f>
        <v>Beginners (0–2 days)</v>
      </c>
      <c r="L113" t="s">
        <v>12</v>
      </c>
      <c r="M113" s="2">
        <v>7</v>
      </c>
    </row>
    <row r="114" spans="1:13" x14ac:dyDescent="0.5">
      <c r="A114" t="s">
        <v>115</v>
      </c>
      <c r="B114" s="2">
        <v>44</v>
      </c>
      <c r="C114" s="2" t="str" cm="1">
        <f t="array" ref="C114">_xlfn.IFS(B114&lt;25, "Youth (16–24)", B114&lt;35, "Young Adults (25–34)", B114&lt;45, "Adults (35–44)", B114&lt;55, "Middle-aged (45–54)")</f>
        <v>Adults (35–44)</v>
      </c>
      <c r="D114" t="s">
        <v>11</v>
      </c>
      <c r="E114" s="1">
        <v>6.4</v>
      </c>
      <c r="F114" s="1" t="str" cm="1">
        <f t="array" ref="F114">_xlfn.IFS(E114&lt;3, "Low (0–3 hrs)", E114&lt;6, "Moderate (3–6 hrs)", E114&lt;8, "High (6–8 hrs)", E114&gt;=8, "Very High (8+ hrs)")</f>
        <v>High (6–8 hrs)</v>
      </c>
      <c r="G114" s="2">
        <v>6</v>
      </c>
      <c r="H114" s="2">
        <v>8</v>
      </c>
      <c r="I114" s="2">
        <v>0</v>
      </c>
      <c r="J114" s="2">
        <v>1</v>
      </c>
      <c r="K114" s="2" t="str" cm="1">
        <f t="array" ref="K114">_xlfn.IFS(Table1[[#This Row],[Exercise_Frequency(week)]]&lt;3, "Beginners (0–2 days)", Table1[[#This Row],[Exercise_Frequency(week)]]&lt;5, "Intermediate (3–4 days)", Table1[[#This Row],[Exercise_Frequency(week)]]&lt;8, "Advanced (5–7 days)")</f>
        <v>Beginners (0–2 days)</v>
      </c>
      <c r="L114" t="s">
        <v>13</v>
      </c>
      <c r="M114" s="2">
        <v>7</v>
      </c>
    </row>
    <row r="115" spans="1:13" x14ac:dyDescent="0.5">
      <c r="A115" t="s">
        <v>137</v>
      </c>
      <c r="B115" s="2">
        <v>42</v>
      </c>
      <c r="C115" s="2" t="str" cm="1">
        <f t="array" ref="C115">_xlfn.IFS(B115&lt;25, "Youth (16–24)", B115&lt;35, "Young Adults (25–34)", B115&lt;45, "Adults (35–44)", B115&lt;55, "Middle-aged (45–54)")</f>
        <v>Adults (35–44)</v>
      </c>
      <c r="D115" t="s">
        <v>16</v>
      </c>
      <c r="E115" s="1">
        <v>6</v>
      </c>
      <c r="F115" s="1" t="str" cm="1">
        <f t="array" ref="F115">_xlfn.IFS(E115&lt;3, "Low (0–3 hrs)", E115&lt;6, "Moderate (3–6 hrs)", E115&lt;8, "High (6–8 hrs)", E115&gt;=8, "Very High (8+ hrs)")</f>
        <v>High (6–8 hrs)</v>
      </c>
      <c r="G115" s="2">
        <v>5</v>
      </c>
      <c r="H115" s="2">
        <v>8</v>
      </c>
      <c r="I115" s="2">
        <v>1</v>
      </c>
      <c r="J115" s="2">
        <v>1</v>
      </c>
      <c r="K115" s="2" t="str" cm="1">
        <f t="array" ref="K115">_xlfn.IFS(Table1[[#This Row],[Exercise_Frequency(week)]]&lt;3, "Beginners (0–2 days)", Table1[[#This Row],[Exercise_Frequency(week)]]&lt;5, "Intermediate (3–4 days)", Table1[[#This Row],[Exercise_Frequency(week)]]&lt;8, "Advanced (5–7 days)")</f>
        <v>Beginners (0–2 days)</v>
      </c>
      <c r="L115" t="s">
        <v>13</v>
      </c>
      <c r="M115" s="2">
        <v>7</v>
      </c>
    </row>
    <row r="116" spans="1:13" x14ac:dyDescent="0.5">
      <c r="A116" t="s">
        <v>172</v>
      </c>
      <c r="B116" s="2">
        <v>24</v>
      </c>
      <c r="C116" s="2" t="str" cm="1">
        <f t="array" ref="C116">_xlfn.IFS(B116&lt;25, "Youth (16–24)", B116&lt;35, "Young Adults (25–34)", B116&lt;45, "Adults (35–44)", B116&lt;55, "Middle-aged (45–54)")</f>
        <v>Youth (16–24)</v>
      </c>
      <c r="D116" t="s">
        <v>11</v>
      </c>
      <c r="E116" s="1">
        <v>7.1</v>
      </c>
      <c r="F116" s="1" t="str" cm="1">
        <f t="array" ref="F116">_xlfn.IFS(E116&lt;3, "Low (0–3 hrs)", E116&lt;6, "Moderate (3–6 hrs)", E116&lt;8, "High (6–8 hrs)", E116&gt;=8, "Very High (8+ hrs)")</f>
        <v>High (6–8 hrs)</v>
      </c>
      <c r="G116" s="2">
        <v>6</v>
      </c>
      <c r="H116" s="2">
        <v>8</v>
      </c>
      <c r="I116" s="2">
        <v>6</v>
      </c>
      <c r="J116" s="2">
        <v>1</v>
      </c>
      <c r="K116" s="2" t="str" cm="1">
        <f t="array" ref="K116">_xlfn.IFS(Table1[[#This Row],[Exercise_Frequency(week)]]&lt;3, "Beginners (0–2 days)", Table1[[#This Row],[Exercise_Frequency(week)]]&lt;5, "Intermediate (3–4 days)", Table1[[#This Row],[Exercise_Frequency(week)]]&lt;8, "Advanced (5–7 days)")</f>
        <v>Beginners (0–2 days)</v>
      </c>
      <c r="L116" t="s">
        <v>17</v>
      </c>
      <c r="M116" s="2">
        <v>7</v>
      </c>
    </row>
    <row r="117" spans="1:13" x14ac:dyDescent="0.5">
      <c r="A117" t="s">
        <v>197</v>
      </c>
      <c r="B117" s="2">
        <v>27</v>
      </c>
      <c r="C117" s="2" t="str" cm="1">
        <f t="array" ref="C117">_xlfn.IFS(B117&lt;25, "Youth (16–24)", B117&lt;35, "Young Adults (25–34)", B117&lt;45, "Adults (35–44)", B117&lt;55, "Middle-aged (45–54)")</f>
        <v>Young Adults (25–34)</v>
      </c>
      <c r="D117" t="s">
        <v>11</v>
      </c>
      <c r="E117" s="1">
        <v>5.5</v>
      </c>
      <c r="F117" s="1" t="str" cm="1">
        <f t="array" ref="F117">_xlfn.IFS(E117&lt;3, "Low (0–3 hrs)", E117&lt;6, "Moderate (3–6 hrs)", E117&lt;8, "High (6–8 hrs)", E117&gt;=8, "Very High (8+ hrs)")</f>
        <v>Moderate (3–6 hrs)</v>
      </c>
      <c r="G117" s="2">
        <v>6</v>
      </c>
      <c r="H117" s="2">
        <v>8</v>
      </c>
      <c r="I117" s="2">
        <v>3</v>
      </c>
      <c r="J117" s="2">
        <v>1</v>
      </c>
      <c r="K117" s="2" t="str" cm="1">
        <f t="array" ref="K117">_xlfn.IFS(Table1[[#This Row],[Exercise_Frequency(week)]]&lt;3, "Beginners (0–2 days)", Table1[[#This Row],[Exercise_Frequency(week)]]&lt;5, "Intermediate (3–4 days)", Table1[[#This Row],[Exercise_Frequency(week)]]&lt;8, "Advanced (5–7 days)")</f>
        <v>Beginners (0–2 days)</v>
      </c>
      <c r="L117" t="s">
        <v>17</v>
      </c>
      <c r="M117" s="2">
        <v>7</v>
      </c>
    </row>
    <row r="118" spans="1:13" x14ac:dyDescent="0.5">
      <c r="A118" t="s">
        <v>267</v>
      </c>
      <c r="B118" s="2">
        <v>17</v>
      </c>
      <c r="C118" s="2" t="str" cm="1">
        <f t="array" ref="C118">_xlfn.IFS(B118&lt;25, "Youth (16–24)", B118&lt;35, "Young Adults (25–34)", B118&lt;45, "Adults (35–44)", B118&lt;55, "Middle-aged (45–54)")</f>
        <v>Youth (16–24)</v>
      </c>
      <c r="D118" t="s">
        <v>11</v>
      </c>
      <c r="E118" s="1">
        <v>8.6999999999999993</v>
      </c>
      <c r="F118" s="1" t="str" cm="1">
        <f t="array" ref="F118">_xlfn.IFS(E118&lt;3, "Low (0–3 hrs)", E118&lt;6, "Moderate (3–6 hrs)", E118&lt;8, "High (6–8 hrs)", E118&gt;=8, "Very High (8+ hrs)")</f>
        <v>Very High (8+ hrs)</v>
      </c>
      <c r="G118" s="2">
        <v>4</v>
      </c>
      <c r="H118" s="2">
        <v>8</v>
      </c>
      <c r="I118" s="2">
        <v>1</v>
      </c>
      <c r="J118" s="2">
        <v>1</v>
      </c>
      <c r="K118" s="2" t="str" cm="1">
        <f t="array" ref="K118">_xlfn.IFS(Table1[[#This Row],[Exercise_Frequency(week)]]&lt;3, "Beginners (0–2 days)", Table1[[#This Row],[Exercise_Frequency(week)]]&lt;5, "Intermediate (3–4 days)", Table1[[#This Row],[Exercise_Frequency(week)]]&lt;8, "Advanced (5–7 days)")</f>
        <v>Beginners (0–2 days)</v>
      </c>
      <c r="L118" t="s">
        <v>14</v>
      </c>
      <c r="M118" s="2">
        <v>7</v>
      </c>
    </row>
    <row r="119" spans="1:13" x14ac:dyDescent="0.5">
      <c r="A119" t="s">
        <v>302</v>
      </c>
      <c r="B119" s="2">
        <v>45</v>
      </c>
      <c r="C119" s="2" t="str" cm="1">
        <f t="array" ref="C119">_xlfn.IFS(B119&lt;25, "Youth (16–24)", B119&lt;35, "Young Adults (25–34)", B119&lt;45, "Adults (35–44)", B119&lt;55, "Middle-aged (45–54)")</f>
        <v>Middle-aged (45–54)</v>
      </c>
      <c r="D119" t="s">
        <v>16</v>
      </c>
      <c r="E119" s="1">
        <v>6.4</v>
      </c>
      <c r="F119" s="1" t="str" cm="1">
        <f t="array" ref="F119">_xlfn.IFS(E119&lt;3, "Low (0–3 hrs)", E119&lt;6, "Moderate (3–6 hrs)", E119&lt;8, "High (6–8 hrs)", E119&gt;=8, "Very High (8+ hrs)")</f>
        <v>High (6–8 hrs)</v>
      </c>
      <c r="G119" s="2">
        <v>6</v>
      </c>
      <c r="H119" s="2">
        <v>7</v>
      </c>
      <c r="I119" s="2">
        <v>2</v>
      </c>
      <c r="J119" s="2">
        <v>1</v>
      </c>
      <c r="K119" s="2" t="str" cm="1">
        <f t="array" ref="K119">_xlfn.IFS(Table1[[#This Row],[Exercise_Frequency(week)]]&lt;3, "Beginners (0–2 days)", Table1[[#This Row],[Exercise_Frequency(week)]]&lt;5, "Intermediate (3–4 days)", Table1[[#This Row],[Exercise_Frequency(week)]]&lt;8, "Advanced (5–7 days)")</f>
        <v>Beginners (0–2 days)</v>
      </c>
      <c r="L119" t="s">
        <v>12</v>
      </c>
      <c r="M119" s="2">
        <v>7</v>
      </c>
    </row>
    <row r="120" spans="1:13" x14ac:dyDescent="0.5">
      <c r="A120" t="s">
        <v>304</v>
      </c>
      <c r="B120" s="2">
        <v>28</v>
      </c>
      <c r="C120" s="2" t="str" cm="1">
        <f t="array" ref="C120">_xlfn.IFS(B120&lt;25, "Youth (16–24)", B120&lt;35, "Young Adults (25–34)", B120&lt;45, "Adults (35–44)", B120&lt;55, "Middle-aged (45–54)")</f>
        <v>Young Adults (25–34)</v>
      </c>
      <c r="D120" t="s">
        <v>16</v>
      </c>
      <c r="E120" s="1">
        <v>7.7</v>
      </c>
      <c r="F120" s="1" t="str" cm="1">
        <f t="array" ref="F120">_xlfn.IFS(E120&lt;3, "Low (0–3 hrs)", E120&lt;6, "Moderate (3–6 hrs)", E120&lt;8, "High (6–8 hrs)", E120&gt;=8, "Very High (8+ hrs)")</f>
        <v>High (6–8 hrs)</v>
      </c>
      <c r="G120" s="2">
        <v>4</v>
      </c>
      <c r="H120" s="2">
        <v>7</v>
      </c>
      <c r="I120" s="2">
        <v>2</v>
      </c>
      <c r="J120" s="2">
        <v>1</v>
      </c>
      <c r="K120" s="2" t="str" cm="1">
        <f t="array" ref="K120">_xlfn.IFS(Table1[[#This Row],[Exercise_Frequency(week)]]&lt;3, "Beginners (0–2 days)", Table1[[#This Row],[Exercise_Frequency(week)]]&lt;5, "Intermediate (3–4 days)", Table1[[#This Row],[Exercise_Frequency(week)]]&lt;8, "Advanced (5–7 days)")</f>
        <v>Beginners (0–2 days)</v>
      </c>
      <c r="L120" t="s">
        <v>12</v>
      </c>
      <c r="M120" s="2">
        <v>7</v>
      </c>
    </row>
    <row r="121" spans="1:13" x14ac:dyDescent="0.5">
      <c r="A121" t="s">
        <v>313</v>
      </c>
      <c r="B121" s="2">
        <v>24</v>
      </c>
      <c r="C121" s="2" t="str" cm="1">
        <f t="array" ref="C121">_xlfn.IFS(B121&lt;25, "Youth (16–24)", B121&lt;35, "Young Adults (25–34)", B121&lt;45, "Adults (35–44)", B121&lt;55, "Middle-aged (45–54)")</f>
        <v>Youth (16–24)</v>
      </c>
      <c r="D121" t="s">
        <v>11</v>
      </c>
      <c r="E121" s="1">
        <v>5.6</v>
      </c>
      <c r="F121" s="1" t="str" cm="1">
        <f t="array" ref="F121">_xlfn.IFS(E121&lt;3, "Low (0–3 hrs)", E121&lt;6, "Moderate (3–6 hrs)", E121&lt;8, "High (6–8 hrs)", E121&gt;=8, "Very High (8+ hrs)")</f>
        <v>Moderate (3–6 hrs)</v>
      </c>
      <c r="G121" s="2">
        <v>5</v>
      </c>
      <c r="H121" s="2">
        <v>8</v>
      </c>
      <c r="I121" s="2">
        <v>7</v>
      </c>
      <c r="J121" s="2">
        <v>1</v>
      </c>
      <c r="K121" s="2" t="str" cm="1">
        <f t="array" ref="K121">_xlfn.IFS(Table1[[#This Row],[Exercise_Frequency(week)]]&lt;3, "Beginners (0–2 days)", Table1[[#This Row],[Exercise_Frequency(week)]]&lt;5, "Intermediate (3–4 days)", Table1[[#This Row],[Exercise_Frequency(week)]]&lt;8, "Advanced (5–7 days)")</f>
        <v>Beginners (0–2 days)</v>
      </c>
      <c r="L121" t="s">
        <v>14</v>
      </c>
      <c r="M121" s="2">
        <v>7</v>
      </c>
    </row>
    <row r="122" spans="1:13" x14ac:dyDescent="0.5">
      <c r="A122" t="s">
        <v>320</v>
      </c>
      <c r="B122" s="2">
        <v>31</v>
      </c>
      <c r="C122" s="2" t="str" cm="1">
        <f t="array" ref="C122">_xlfn.IFS(B122&lt;25, "Youth (16–24)", B122&lt;35, "Young Adults (25–34)", B122&lt;45, "Adults (35–44)", B122&lt;55, "Middle-aged (45–54)")</f>
        <v>Young Adults (25–34)</v>
      </c>
      <c r="D122" t="s">
        <v>11</v>
      </c>
      <c r="E122" s="1">
        <v>5.8</v>
      </c>
      <c r="F122" s="1" t="str" cm="1">
        <f t="array" ref="F122">_xlfn.IFS(E122&lt;3, "Low (0–3 hrs)", E122&lt;6, "Moderate (3–6 hrs)", E122&lt;8, "High (6–8 hrs)", E122&gt;=8, "Very High (8+ hrs)")</f>
        <v>Moderate (3–6 hrs)</v>
      </c>
      <c r="G122" s="2">
        <v>6</v>
      </c>
      <c r="H122" s="2">
        <v>8</v>
      </c>
      <c r="I122" s="2">
        <v>6</v>
      </c>
      <c r="J122" s="2">
        <v>1</v>
      </c>
      <c r="K122" s="2" t="str" cm="1">
        <f t="array" ref="K122">_xlfn.IFS(Table1[[#This Row],[Exercise_Frequency(week)]]&lt;3, "Beginners (0–2 days)", Table1[[#This Row],[Exercise_Frequency(week)]]&lt;5, "Intermediate (3–4 days)", Table1[[#This Row],[Exercise_Frequency(week)]]&lt;8, "Advanced (5–7 days)")</f>
        <v>Beginners (0–2 days)</v>
      </c>
      <c r="L122" t="s">
        <v>12</v>
      </c>
      <c r="M122" s="2">
        <v>7</v>
      </c>
    </row>
    <row r="123" spans="1:13" x14ac:dyDescent="0.5">
      <c r="A123" t="s">
        <v>334</v>
      </c>
      <c r="B123" s="2">
        <v>20</v>
      </c>
      <c r="C123" s="2" t="str" cm="1">
        <f t="array" ref="C123">_xlfn.IFS(B123&lt;25, "Youth (16–24)", B123&lt;35, "Young Adults (25–34)", B123&lt;45, "Adults (35–44)", B123&lt;55, "Middle-aged (45–54)")</f>
        <v>Youth (16–24)</v>
      </c>
      <c r="D123" t="s">
        <v>11</v>
      </c>
      <c r="E123" s="1">
        <v>6.5</v>
      </c>
      <c r="F123" s="1" t="str" cm="1">
        <f t="array" ref="F123">_xlfn.IFS(E123&lt;3, "Low (0–3 hrs)", E123&lt;6, "Moderate (3–6 hrs)", E123&lt;8, "High (6–8 hrs)", E123&gt;=8, "Very High (8+ hrs)")</f>
        <v>High (6–8 hrs)</v>
      </c>
      <c r="G123" s="2">
        <v>7</v>
      </c>
      <c r="H123" s="2">
        <v>7</v>
      </c>
      <c r="I123" s="2">
        <v>4</v>
      </c>
      <c r="J123" s="2">
        <v>1</v>
      </c>
      <c r="K123" s="2" t="str" cm="1">
        <f t="array" ref="K123">_xlfn.IFS(Table1[[#This Row],[Exercise_Frequency(week)]]&lt;3, "Beginners (0–2 days)", Table1[[#This Row],[Exercise_Frequency(week)]]&lt;5, "Intermediate (3–4 days)", Table1[[#This Row],[Exercise_Frequency(week)]]&lt;8, "Advanced (5–7 days)")</f>
        <v>Beginners (0–2 days)</v>
      </c>
      <c r="L123" t="s">
        <v>13</v>
      </c>
      <c r="M123" s="2">
        <v>7</v>
      </c>
    </row>
    <row r="124" spans="1:13" x14ac:dyDescent="0.5">
      <c r="A124" t="s">
        <v>359</v>
      </c>
      <c r="B124" s="2">
        <v>39</v>
      </c>
      <c r="C124" s="2" t="str" cm="1">
        <f t="array" ref="C124">_xlfn.IFS(B124&lt;25, "Youth (16–24)", B124&lt;35, "Young Adults (25–34)", B124&lt;45, "Adults (35–44)", B124&lt;55, "Middle-aged (45–54)")</f>
        <v>Adults (35–44)</v>
      </c>
      <c r="D124" t="s">
        <v>16</v>
      </c>
      <c r="E124" s="1">
        <v>6.6</v>
      </c>
      <c r="F124" s="1" t="str" cm="1">
        <f t="array" ref="F124">_xlfn.IFS(E124&lt;3, "Low (0–3 hrs)", E124&lt;6, "Moderate (3–6 hrs)", E124&lt;8, "High (6–8 hrs)", E124&gt;=8, "Very High (8+ hrs)")</f>
        <v>High (6–8 hrs)</v>
      </c>
      <c r="G124" s="2">
        <v>6</v>
      </c>
      <c r="H124" s="2">
        <v>7</v>
      </c>
      <c r="I124" s="2">
        <v>3</v>
      </c>
      <c r="J124" s="2">
        <v>1</v>
      </c>
      <c r="K124" s="2" t="str" cm="1">
        <f t="array" ref="K124">_xlfn.IFS(Table1[[#This Row],[Exercise_Frequency(week)]]&lt;3, "Beginners (0–2 days)", Table1[[#This Row],[Exercise_Frequency(week)]]&lt;5, "Intermediate (3–4 days)", Table1[[#This Row],[Exercise_Frequency(week)]]&lt;8, "Advanced (5–7 days)")</f>
        <v>Beginners (0–2 days)</v>
      </c>
      <c r="L124" t="s">
        <v>23</v>
      </c>
      <c r="M124" s="2">
        <v>7</v>
      </c>
    </row>
    <row r="125" spans="1:13" x14ac:dyDescent="0.5">
      <c r="A125" t="s">
        <v>388</v>
      </c>
      <c r="B125" s="2">
        <v>24</v>
      </c>
      <c r="C125" s="2" t="str" cm="1">
        <f t="array" ref="C125">_xlfn.IFS(B125&lt;25, "Youth (16–24)", B125&lt;35, "Young Adults (25–34)", B125&lt;45, "Adults (35–44)", B125&lt;55, "Middle-aged (45–54)")</f>
        <v>Youth (16–24)</v>
      </c>
      <c r="D125" t="s">
        <v>11</v>
      </c>
      <c r="E125" s="1">
        <v>6.5</v>
      </c>
      <c r="F125" s="1" t="str" cm="1">
        <f t="array" ref="F125">_xlfn.IFS(E125&lt;3, "Low (0–3 hrs)", E125&lt;6, "Moderate (3–6 hrs)", E125&lt;8, "High (6–8 hrs)", E125&gt;=8, "Very High (8+ hrs)")</f>
        <v>High (6–8 hrs)</v>
      </c>
      <c r="G125" s="2">
        <v>7</v>
      </c>
      <c r="H125" s="2">
        <v>6</v>
      </c>
      <c r="I125" s="2">
        <v>1</v>
      </c>
      <c r="J125" s="2">
        <v>1</v>
      </c>
      <c r="K125" s="2" t="str" cm="1">
        <f t="array" ref="K125">_xlfn.IFS(Table1[[#This Row],[Exercise_Frequency(week)]]&lt;3, "Beginners (0–2 days)", Table1[[#This Row],[Exercise_Frequency(week)]]&lt;5, "Intermediate (3–4 days)", Table1[[#This Row],[Exercise_Frequency(week)]]&lt;8, "Advanced (5–7 days)")</f>
        <v>Beginners (0–2 days)</v>
      </c>
      <c r="L125" t="s">
        <v>13</v>
      </c>
      <c r="M125" s="2">
        <v>7</v>
      </c>
    </row>
    <row r="126" spans="1:13" x14ac:dyDescent="0.5">
      <c r="A126" t="s">
        <v>442</v>
      </c>
      <c r="B126" s="2">
        <v>32</v>
      </c>
      <c r="C126" s="2" t="str" cm="1">
        <f t="array" ref="C126">_xlfn.IFS(B126&lt;25, "Youth (16–24)", B126&lt;35, "Young Adults (25–34)", B126&lt;45, "Adults (35–44)", B126&lt;55, "Middle-aged (45–54)")</f>
        <v>Young Adults (25–34)</v>
      </c>
      <c r="D126" t="s">
        <v>11</v>
      </c>
      <c r="E126" s="1">
        <v>8.4</v>
      </c>
      <c r="F126" s="1" t="str" cm="1">
        <f t="array" ref="F126">_xlfn.IFS(E126&lt;3, "Low (0–3 hrs)", E126&lt;6, "Moderate (3–6 hrs)", E126&lt;8, "High (6–8 hrs)", E126&gt;=8, "Very High (8+ hrs)")</f>
        <v>Very High (8+ hrs)</v>
      </c>
      <c r="G126" s="2">
        <v>5</v>
      </c>
      <c r="H126" s="2">
        <v>9</v>
      </c>
      <c r="I126" s="2">
        <v>4</v>
      </c>
      <c r="J126" s="2">
        <v>1</v>
      </c>
      <c r="K126" s="2" t="str" cm="1">
        <f t="array" ref="K126">_xlfn.IFS(Table1[[#This Row],[Exercise_Frequency(week)]]&lt;3, "Beginners (0–2 days)", Table1[[#This Row],[Exercise_Frequency(week)]]&lt;5, "Intermediate (3–4 days)", Table1[[#This Row],[Exercise_Frequency(week)]]&lt;8, "Advanced (5–7 days)")</f>
        <v>Beginners (0–2 days)</v>
      </c>
      <c r="L126" t="s">
        <v>19</v>
      </c>
      <c r="M126" s="2">
        <v>7</v>
      </c>
    </row>
    <row r="127" spans="1:13" x14ac:dyDescent="0.5">
      <c r="A127" t="s">
        <v>453</v>
      </c>
      <c r="B127" s="2">
        <v>18</v>
      </c>
      <c r="C127" s="2" t="str" cm="1">
        <f t="array" ref="C127">_xlfn.IFS(B127&lt;25, "Youth (16–24)", B127&lt;35, "Young Adults (25–34)", B127&lt;45, "Adults (35–44)", B127&lt;55, "Middle-aged (45–54)")</f>
        <v>Youth (16–24)</v>
      </c>
      <c r="D127" t="s">
        <v>11</v>
      </c>
      <c r="E127" s="1">
        <v>7.3</v>
      </c>
      <c r="F127" s="1" t="str" cm="1">
        <f t="array" ref="F127">_xlfn.IFS(E127&lt;3, "Low (0–3 hrs)", E127&lt;6, "Moderate (3–6 hrs)", E127&lt;8, "High (6–8 hrs)", E127&gt;=8, "Very High (8+ hrs)")</f>
        <v>High (6–8 hrs)</v>
      </c>
      <c r="G127" s="2">
        <v>5</v>
      </c>
      <c r="H127" s="2">
        <v>8</v>
      </c>
      <c r="I127" s="2">
        <v>1</v>
      </c>
      <c r="J127" s="2">
        <v>1</v>
      </c>
      <c r="K127" s="2" t="str" cm="1">
        <f t="array" ref="K127">_xlfn.IFS(Table1[[#This Row],[Exercise_Frequency(week)]]&lt;3, "Beginners (0–2 days)", Table1[[#This Row],[Exercise_Frequency(week)]]&lt;5, "Intermediate (3–4 days)", Table1[[#This Row],[Exercise_Frequency(week)]]&lt;8, "Advanced (5–7 days)")</f>
        <v>Beginners (0–2 days)</v>
      </c>
      <c r="L127" t="s">
        <v>14</v>
      </c>
      <c r="M127" s="2">
        <v>7</v>
      </c>
    </row>
    <row r="128" spans="1:13" x14ac:dyDescent="0.5">
      <c r="A128" t="s">
        <v>480</v>
      </c>
      <c r="B128" s="2">
        <v>38</v>
      </c>
      <c r="C128" s="2" t="str" cm="1">
        <f t="array" ref="C128">_xlfn.IFS(B128&lt;25, "Youth (16–24)", B128&lt;35, "Young Adults (25–34)", B128&lt;45, "Adults (35–44)", B128&lt;55, "Middle-aged (45–54)")</f>
        <v>Adults (35–44)</v>
      </c>
      <c r="D128" t="s">
        <v>11</v>
      </c>
      <c r="E128" s="1">
        <v>6.6</v>
      </c>
      <c r="F128" s="1" t="str" cm="1">
        <f t="array" ref="F128">_xlfn.IFS(E128&lt;3, "Low (0–3 hrs)", E128&lt;6, "Moderate (3–6 hrs)", E128&lt;8, "High (6–8 hrs)", E128&gt;=8, "Very High (8+ hrs)")</f>
        <v>High (6–8 hrs)</v>
      </c>
      <c r="G128" s="2">
        <v>6</v>
      </c>
      <c r="H128" s="2">
        <v>8</v>
      </c>
      <c r="I128" s="2">
        <v>2</v>
      </c>
      <c r="J128" s="2">
        <v>1</v>
      </c>
      <c r="K128" s="2" t="str" cm="1">
        <f t="array" ref="K128">_xlfn.IFS(Table1[[#This Row],[Exercise_Frequency(week)]]&lt;3, "Beginners (0–2 days)", Table1[[#This Row],[Exercise_Frequency(week)]]&lt;5, "Intermediate (3–4 days)", Table1[[#This Row],[Exercise_Frequency(week)]]&lt;8, "Advanced (5–7 days)")</f>
        <v>Beginners (0–2 days)</v>
      </c>
      <c r="L128" t="s">
        <v>17</v>
      </c>
      <c r="M128" s="2">
        <v>7</v>
      </c>
    </row>
    <row r="129" spans="1:13" x14ac:dyDescent="0.5">
      <c r="A129" t="s">
        <v>21</v>
      </c>
      <c r="B129" s="2">
        <v>26</v>
      </c>
      <c r="C129" s="2" t="str" cm="1">
        <f t="array" ref="C129">_xlfn.IFS(B129&lt;25, "Youth (16–24)", B129&lt;35, "Young Adults (25–34)", B129&lt;45, "Adults (35–44)", B129&lt;55, "Middle-aged (45–54)")</f>
        <v>Young Adults (25–34)</v>
      </c>
      <c r="D129" t="s">
        <v>16</v>
      </c>
      <c r="E129" s="1">
        <v>7.8</v>
      </c>
      <c r="F129" s="1" t="str" cm="1">
        <f t="array" ref="F129">_xlfn.IFS(E129&lt;3, "Low (0–3 hrs)", E129&lt;6, "Moderate (3–6 hrs)", E129&lt;8, "High (6–8 hrs)", E129&gt;=8, "Very High (8+ hrs)")</f>
        <v>High (6–8 hrs)</v>
      </c>
      <c r="G129" s="2">
        <v>4</v>
      </c>
      <c r="H129" s="2">
        <v>8</v>
      </c>
      <c r="I129" s="2">
        <v>2</v>
      </c>
      <c r="J129" s="2">
        <v>0</v>
      </c>
      <c r="K129" s="2" t="str" cm="1">
        <f t="array" ref="K129">_xlfn.IFS(Table1[[#This Row],[Exercise_Frequency(week)]]&lt;3, "Beginners (0–2 days)", Table1[[#This Row],[Exercise_Frequency(week)]]&lt;5, "Intermediate (3–4 days)", Table1[[#This Row],[Exercise_Frequency(week)]]&lt;8, "Advanced (5–7 days)")</f>
        <v>Beginners (0–2 days)</v>
      </c>
      <c r="L129" t="s">
        <v>17</v>
      </c>
      <c r="M129" s="2">
        <v>7</v>
      </c>
    </row>
    <row r="130" spans="1:13" x14ac:dyDescent="0.5">
      <c r="A130" t="s">
        <v>26</v>
      </c>
      <c r="B130" s="2">
        <v>18</v>
      </c>
      <c r="C130" s="2" t="str" cm="1">
        <f t="array" ref="C130">_xlfn.IFS(B130&lt;25, "Youth (16–24)", B130&lt;35, "Young Adults (25–34)", B130&lt;45, "Adults (35–44)", B130&lt;55, "Middle-aged (45–54)")</f>
        <v>Youth (16–24)</v>
      </c>
      <c r="D130" t="s">
        <v>16</v>
      </c>
      <c r="E130" s="1">
        <v>2.8</v>
      </c>
      <c r="F130" s="1" t="str" cm="1">
        <f t="array" ref="F130">_xlfn.IFS(E130&lt;3, "Low (0–3 hrs)", E130&lt;6, "Moderate (3–6 hrs)", E130&lt;8, "High (6–8 hrs)", E130&gt;=8, "Very High (8+ hrs)")</f>
        <v>Low (0–3 hrs)</v>
      </c>
      <c r="G130" s="2">
        <v>7</v>
      </c>
      <c r="H130" s="2">
        <v>6</v>
      </c>
      <c r="I130" s="2">
        <v>2</v>
      </c>
      <c r="J130" s="2">
        <v>0</v>
      </c>
      <c r="K130" s="2" t="str" cm="1">
        <f t="array" ref="K130">_xlfn.IFS(Table1[[#This Row],[Exercise_Frequency(week)]]&lt;3, "Beginners (0–2 days)", Table1[[#This Row],[Exercise_Frequency(week)]]&lt;5, "Intermediate (3–4 days)", Table1[[#This Row],[Exercise_Frequency(week)]]&lt;8, "Advanced (5–7 days)")</f>
        <v>Beginners (0–2 days)</v>
      </c>
      <c r="L130" t="s">
        <v>23</v>
      </c>
      <c r="M130" s="2">
        <v>7</v>
      </c>
    </row>
    <row r="131" spans="1:13" x14ac:dyDescent="0.5">
      <c r="A131" t="s">
        <v>46</v>
      </c>
      <c r="B131" s="2">
        <v>24</v>
      </c>
      <c r="C131" s="2" t="str" cm="1">
        <f t="array" ref="C131">_xlfn.IFS(B131&lt;25, "Youth (16–24)", B131&lt;35, "Young Adults (25–34)", B131&lt;45, "Adults (35–44)", B131&lt;55, "Middle-aged (45–54)")</f>
        <v>Youth (16–24)</v>
      </c>
      <c r="D131" t="s">
        <v>16</v>
      </c>
      <c r="E131" s="1">
        <v>6.6</v>
      </c>
      <c r="F131" s="1" t="str" cm="1">
        <f t="array" ref="F131">_xlfn.IFS(E131&lt;3, "Low (0–3 hrs)", E131&lt;6, "Moderate (3–6 hrs)", E131&lt;8, "High (6–8 hrs)", E131&gt;=8, "Very High (8+ hrs)")</f>
        <v>High (6–8 hrs)</v>
      </c>
      <c r="G131" s="2">
        <v>6</v>
      </c>
      <c r="H131" s="2">
        <v>7</v>
      </c>
      <c r="I131" s="2">
        <v>4</v>
      </c>
      <c r="J131" s="2">
        <v>0</v>
      </c>
      <c r="K131" s="2" t="str" cm="1">
        <f t="array" ref="K131">_xlfn.IFS(Table1[[#This Row],[Exercise_Frequency(week)]]&lt;3, "Beginners (0–2 days)", Table1[[#This Row],[Exercise_Frequency(week)]]&lt;5, "Intermediate (3–4 days)", Table1[[#This Row],[Exercise_Frequency(week)]]&lt;8, "Advanced (5–7 days)")</f>
        <v>Beginners (0–2 days)</v>
      </c>
      <c r="L131" t="s">
        <v>17</v>
      </c>
      <c r="M131" s="2">
        <v>7</v>
      </c>
    </row>
    <row r="132" spans="1:13" x14ac:dyDescent="0.5">
      <c r="A132" t="s">
        <v>177</v>
      </c>
      <c r="B132" s="2">
        <v>35</v>
      </c>
      <c r="C132" s="2" t="str" cm="1">
        <f t="array" ref="C132">_xlfn.IFS(B132&lt;25, "Youth (16–24)", B132&lt;35, "Young Adults (25–34)", B132&lt;45, "Adults (35–44)", B132&lt;55, "Middle-aged (45–54)")</f>
        <v>Adults (35–44)</v>
      </c>
      <c r="D132" t="s">
        <v>11</v>
      </c>
      <c r="E132" s="1">
        <v>5.0999999999999996</v>
      </c>
      <c r="F132" s="1" t="str" cm="1">
        <f t="array" ref="F132">_xlfn.IFS(E132&lt;3, "Low (0–3 hrs)", E132&lt;6, "Moderate (3–6 hrs)", E132&lt;8, "High (6–8 hrs)", E132&gt;=8, "Very High (8+ hrs)")</f>
        <v>Moderate (3–6 hrs)</v>
      </c>
      <c r="G132" s="2">
        <v>7</v>
      </c>
      <c r="H132" s="2">
        <v>7</v>
      </c>
      <c r="I132" s="2">
        <v>2</v>
      </c>
      <c r="J132" s="2">
        <v>0</v>
      </c>
      <c r="K132" s="2" t="str" cm="1">
        <f t="array" ref="K132">_xlfn.IFS(Table1[[#This Row],[Exercise_Frequency(week)]]&lt;3, "Beginners (0–2 days)", Table1[[#This Row],[Exercise_Frequency(week)]]&lt;5, "Intermediate (3–4 days)", Table1[[#This Row],[Exercise_Frequency(week)]]&lt;8, "Advanced (5–7 days)")</f>
        <v>Beginners (0–2 days)</v>
      </c>
      <c r="L132" t="s">
        <v>12</v>
      </c>
      <c r="M132" s="2">
        <v>7</v>
      </c>
    </row>
    <row r="133" spans="1:13" x14ac:dyDescent="0.5">
      <c r="A133" t="s">
        <v>258</v>
      </c>
      <c r="B133" s="2">
        <v>40</v>
      </c>
      <c r="C133" s="2" t="str" cm="1">
        <f t="array" ref="C133">_xlfn.IFS(B133&lt;25, "Youth (16–24)", B133&lt;35, "Young Adults (25–34)", B133&lt;45, "Adults (35–44)", B133&lt;55, "Middle-aged (45–54)")</f>
        <v>Adults (35–44)</v>
      </c>
      <c r="D133" t="s">
        <v>11</v>
      </c>
      <c r="E133" s="1">
        <v>7.5</v>
      </c>
      <c r="F133" s="1" t="str" cm="1">
        <f t="array" ref="F133">_xlfn.IFS(E133&lt;3, "Low (0–3 hrs)", E133&lt;6, "Moderate (3–6 hrs)", E133&lt;8, "High (6–8 hrs)", E133&gt;=8, "Very High (8+ hrs)")</f>
        <v>High (6–8 hrs)</v>
      </c>
      <c r="G133" s="2">
        <v>4</v>
      </c>
      <c r="H133" s="2">
        <v>8</v>
      </c>
      <c r="I133" s="2">
        <v>5</v>
      </c>
      <c r="J133" s="2">
        <v>0</v>
      </c>
      <c r="K133" s="2" t="str" cm="1">
        <f t="array" ref="K133">_xlfn.IFS(Table1[[#This Row],[Exercise_Frequency(week)]]&lt;3, "Beginners (0–2 days)", Table1[[#This Row],[Exercise_Frequency(week)]]&lt;5, "Intermediate (3–4 days)", Table1[[#This Row],[Exercise_Frequency(week)]]&lt;8, "Advanced (5–7 days)")</f>
        <v>Beginners (0–2 days)</v>
      </c>
      <c r="L133" t="s">
        <v>12</v>
      </c>
      <c r="M133" s="2">
        <v>7</v>
      </c>
    </row>
    <row r="134" spans="1:13" x14ac:dyDescent="0.5">
      <c r="A134" t="s">
        <v>296</v>
      </c>
      <c r="B134" s="2">
        <v>48</v>
      </c>
      <c r="C134" s="2" t="str" cm="1">
        <f t="array" ref="C134">_xlfn.IFS(B134&lt;25, "Youth (16–24)", B134&lt;35, "Young Adults (25–34)", B134&lt;45, "Adults (35–44)", B134&lt;55, "Middle-aged (45–54)")</f>
        <v>Middle-aged (45–54)</v>
      </c>
      <c r="D134" t="s">
        <v>16</v>
      </c>
      <c r="E134" s="1">
        <v>6</v>
      </c>
      <c r="F134" s="1" t="str" cm="1">
        <f t="array" ref="F134">_xlfn.IFS(E134&lt;3, "Low (0–3 hrs)", E134&lt;6, "Moderate (3–6 hrs)", E134&lt;8, "High (6–8 hrs)", E134&gt;=8, "Very High (8+ hrs)")</f>
        <v>High (6–8 hrs)</v>
      </c>
      <c r="G134" s="2">
        <v>5</v>
      </c>
      <c r="H134" s="2">
        <v>7</v>
      </c>
      <c r="I134" s="2">
        <v>2</v>
      </c>
      <c r="J134" s="2">
        <v>0</v>
      </c>
      <c r="K134" s="2" t="str" cm="1">
        <f t="array" ref="K134">_xlfn.IFS(Table1[[#This Row],[Exercise_Frequency(week)]]&lt;3, "Beginners (0–2 days)", Table1[[#This Row],[Exercise_Frequency(week)]]&lt;5, "Intermediate (3–4 days)", Table1[[#This Row],[Exercise_Frequency(week)]]&lt;8, "Advanced (5–7 days)")</f>
        <v>Beginners (0–2 days)</v>
      </c>
      <c r="L134" t="s">
        <v>23</v>
      </c>
      <c r="M134" s="2">
        <v>7</v>
      </c>
    </row>
    <row r="135" spans="1:13" x14ac:dyDescent="0.5">
      <c r="A135" t="s">
        <v>358</v>
      </c>
      <c r="B135" s="2">
        <v>35</v>
      </c>
      <c r="C135" s="2" t="str" cm="1">
        <f t="array" ref="C135">_xlfn.IFS(B135&lt;25, "Youth (16–24)", B135&lt;35, "Young Adults (25–34)", B135&lt;45, "Adults (35–44)", B135&lt;55, "Middle-aged (45–54)")</f>
        <v>Adults (35–44)</v>
      </c>
      <c r="D135" t="s">
        <v>16</v>
      </c>
      <c r="E135" s="1">
        <v>6.8</v>
      </c>
      <c r="F135" s="1" t="str" cm="1">
        <f t="array" ref="F135">_xlfn.IFS(E135&lt;3, "Low (0–3 hrs)", E135&lt;6, "Moderate (3–6 hrs)", E135&lt;8, "High (6–8 hrs)", E135&gt;=8, "Very High (8+ hrs)")</f>
        <v>High (6–8 hrs)</v>
      </c>
      <c r="G135" s="2">
        <v>4</v>
      </c>
      <c r="H135" s="2">
        <v>9</v>
      </c>
      <c r="I135" s="2">
        <v>3</v>
      </c>
      <c r="J135" s="2">
        <v>0</v>
      </c>
      <c r="K135" s="2" t="str" cm="1">
        <f t="array" ref="K135">_xlfn.IFS(Table1[[#This Row],[Exercise_Frequency(week)]]&lt;3, "Beginners (0–2 days)", Table1[[#This Row],[Exercise_Frequency(week)]]&lt;5, "Intermediate (3–4 days)", Table1[[#This Row],[Exercise_Frequency(week)]]&lt;8, "Advanced (5–7 days)")</f>
        <v>Beginners (0–2 days)</v>
      </c>
      <c r="L135" t="s">
        <v>19</v>
      </c>
      <c r="M135" s="2">
        <v>7</v>
      </c>
    </row>
    <row r="136" spans="1:13" x14ac:dyDescent="0.5">
      <c r="A136" t="s">
        <v>38</v>
      </c>
      <c r="B136" s="2">
        <v>30</v>
      </c>
      <c r="C136" s="2" t="str" cm="1">
        <f t="array" ref="C136">_xlfn.IFS(B136&lt;25, "Youth (16–24)", B136&lt;35, "Young Adults (25–34)", B136&lt;45, "Adults (35–44)", B136&lt;55, "Middle-aged (45–54)")</f>
        <v>Young Adults (25–34)</v>
      </c>
      <c r="D136" t="s">
        <v>11</v>
      </c>
      <c r="E136" s="1">
        <v>5</v>
      </c>
      <c r="F136" s="1" t="str" cm="1">
        <f t="array" ref="F136">_xlfn.IFS(E136&lt;3, "Low (0–3 hrs)", E136&lt;6, "Moderate (3–6 hrs)", E136&lt;8, "High (6–8 hrs)", E136&gt;=8, "Very High (8+ hrs)")</f>
        <v>Moderate (3–6 hrs)</v>
      </c>
      <c r="G136" s="2">
        <v>6</v>
      </c>
      <c r="H136" s="2">
        <v>6</v>
      </c>
      <c r="I136" s="2">
        <v>0</v>
      </c>
      <c r="J136" s="2">
        <v>5</v>
      </c>
      <c r="K136" s="2" t="str" cm="1">
        <f t="array" ref="K136">_xlfn.IFS(Table1[[#This Row],[Exercise_Frequency(week)]]&lt;3, "Beginners (0–2 days)", Table1[[#This Row],[Exercise_Frequency(week)]]&lt;5, "Intermediate (3–4 days)", Table1[[#This Row],[Exercise_Frequency(week)]]&lt;8, "Advanced (5–7 days)")</f>
        <v>Advanced (5–7 days)</v>
      </c>
      <c r="L136" t="s">
        <v>19</v>
      </c>
      <c r="M136" s="2">
        <v>8</v>
      </c>
    </row>
    <row r="137" spans="1:13" x14ac:dyDescent="0.5">
      <c r="A137" t="s">
        <v>129</v>
      </c>
      <c r="B137" s="2">
        <v>40</v>
      </c>
      <c r="C137" s="2" t="str" cm="1">
        <f t="array" ref="C137">_xlfn.IFS(B137&lt;25, "Youth (16–24)", B137&lt;35, "Young Adults (25–34)", B137&lt;45, "Adults (35–44)", B137&lt;55, "Middle-aged (45–54)")</f>
        <v>Adults (35–44)</v>
      </c>
      <c r="D137" t="s">
        <v>16</v>
      </c>
      <c r="E137" s="1">
        <v>7</v>
      </c>
      <c r="F137" s="1" t="str" cm="1">
        <f t="array" ref="F137">_xlfn.IFS(E137&lt;3, "Low (0–3 hrs)", E137&lt;6, "Moderate (3–6 hrs)", E137&lt;8, "High (6–8 hrs)", E137&gt;=8, "Very High (8+ hrs)")</f>
        <v>High (6–8 hrs)</v>
      </c>
      <c r="G137" s="2">
        <v>4</v>
      </c>
      <c r="H137" s="2">
        <v>6</v>
      </c>
      <c r="I137" s="2">
        <v>0</v>
      </c>
      <c r="J137" s="2">
        <v>5</v>
      </c>
      <c r="K137" s="2" t="str" cm="1">
        <f t="array" ref="K137">_xlfn.IFS(Table1[[#This Row],[Exercise_Frequency(week)]]&lt;3, "Beginners (0–2 days)", Table1[[#This Row],[Exercise_Frequency(week)]]&lt;5, "Intermediate (3–4 days)", Table1[[#This Row],[Exercise_Frequency(week)]]&lt;8, "Advanced (5–7 days)")</f>
        <v>Advanced (5–7 days)</v>
      </c>
      <c r="L137" t="s">
        <v>23</v>
      </c>
      <c r="M137" s="2">
        <v>8</v>
      </c>
    </row>
    <row r="138" spans="1:13" x14ac:dyDescent="0.5">
      <c r="A138" t="s">
        <v>318</v>
      </c>
      <c r="B138" s="2">
        <v>40</v>
      </c>
      <c r="C138" s="2" t="str" cm="1">
        <f t="array" ref="C138">_xlfn.IFS(B138&lt;25, "Youth (16–24)", B138&lt;35, "Young Adults (25–34)", B138&lt;45, "Adults (35–44)", B138&lt;55, "Middle-aged (45–54)")</f>
        <v>Adults (35–44)</v>
      </c>
      <c r="D138" t="s">
        <v>16</v>
      </c>
      <c r="E138" s="1">
        <v>4.4000000000000004</v>
      </c>
      <c r="F138" s="1" t="str" cm="1">
        <f t="array" ref="F138">_xlfn.IFS(E138&lt;3, "Low (0–3 hrs)", E138&lt;6, "Moderate (3–6 hrs)", E138&lt;8, "High (6–8 hrs)", E138&gt;=8, "Very High (8+ hrs)")</f>
        <v>Moderate (3–6 hrs)</v>
      </c>
      <c r="G138" s="2">
        <v>8</v>
      </c>
      <c r="H138" s="2">
        <v>7</v>
      </c>
      <c r="I138" s="2">
        <v>4</v>
      </c>
      <c r="J138" s="2">
        <v>5</v>
      </c>
      <c r="K138" s="2" t="str" cm="1">
        <f t="array" ref="K138">_xlfn.IFS(Table1[[#This Row],[Exercise_Frequency(week)]]&lt;3, "Beginners (0–2 days)", Table1[[#This Row],[Exercise_Frequency(week)]]&lt;5, "Intermediate (3–4 days)", Table1[[#This Row],[Exercise_Frequency(week)]]&lt;8, "Advanced (5–7 days)")</f>
        <v>Advanced (5–7 days)</v>
      </c>
      <c r="L138" t="s">
        <v>13</v>
      </c>
      <c r="M138" s="2">
        <v>8</v>
      </c>
    </row>
    <row r="139" spans="1:13" x14ac:dyDescent="0.5">
      <c r="A139" t="s">
        <v>389</v>
      </c>
      <c r="B139" s="2">
        <v>39</v>
      </c>
      <c r="C139" s="2" t="str" cm="1">
        <f t="array" ref="C139">_xlfn.IFS(B139&lt;25, "Youth (16–24)", B139&lt;35, "Young Adults (25–34)", B139&lt;45, "Adults (35–44)", B139&lt;55, "Middle-aged (45–54)")</f>
        <v>Adults (35–44)</v>
      </c>
      <c r="D139" t="s">
        <v>11</v>
      </c>
      <c r="E139" s="1">
        <v>5</v>
      </c>
      <c r="F139" s="1" t="str" cm="1">
        <f t="array" ref="F139">_xlfn.IFS(E139&lt;3, "Low (0–3 hrs)", E139&lt;6, "Moderate (3–6 hrs)", E139&lt;8, "High (6–8 hrs)", E139&gt;=8, "Very High (8+ hrs)")</f>
        <v>Moderate (3–6 hrs)</v>
      </c>
      <c r="G139" s="2">
        <v>5</v>
      </c>
      <c r="H139" s="2">
        <v>6</v>
      </c>
      <c r="I139" s="2">
        <v>4</v>
      </c>
      <c r="J139" s="2">
        <v>5</v>
      </c>
      <c r="K139" s="2" t="str" cm="1">
        <f t="array" ref="K139">_xlfn.IFS(Table1[[#This Row],[Exercise_Frequency(week)]]&lt;3, "Beginners (0–2 days)", Table1[[#This Row],[Exercise_Frequency(week)]]&lt;5, "Intermediate (3–4 days)", Table1[[#This Row],[Exercise_Frequency(week)]]&lt;8, "Advanced (5–7 days)")</f>
        <v>Advanced (5–7 days)</v>
      </c>
      <c r="L139" t="s">
        <v>12</v>
      </c>
      <c r="M139" s="2">
        <v>8</v>
      </c>
    </row>
    <row r="140" spans="1:13" x14ac:dyDescent="0.5">
      <c r="A140" t="s">
        <v>416</v>
      </c>
      <c r="B140" s="2">
        <v>20</v>
      </c>
      <c r="C140" s="2" t="str" cm="1">
        <f t="array" ref="C140">_xlfn.IFS(B140&lt;25, "Youth (16–24)", B140&lt;35, "Young Adults (25–34)", B140&lt;45, "Adults (35–44)", B140&lt;55, "Middle-aged (45–54)")</f>
        <v>Youth (16–24)</v>
      </c>
      <c r="D140" t="s">
        <v>11</v>
      </c>
      <c r="E140" s="1">
        <v>5.6</v>
      </c>
      <c r="F140" s="1" t="str" cm="1">
        <f t="array" ref="F140">_xlfn.IFS(E140&lt;3, "Low (0–3 hrs)", E140&lt;6, "Moderate (3–6 hrs)", E140&lt;8, "High (6–8 hrs)", E140&gt;=8, "Very High (8+ hrs)")</f>
        <v>Moderate (3–6 hrs)</v>
      </c>
      <c r="G140" s="2">
        <v>8</v>
      </c>
      <c r="H140" s="2">
        <v>8</v>
      </c>
      <c r="I140" s="2">
        <v>3</v>
      </c>
      <c r="J140" s="2">
        <v>5</v>
      </c>
      <c r="K140" s="2" t="str" cm="1">
        <f t="array" ref="K140">_xlfn.IFS(Table1[[#This Row],[Exercise_Frequency(week)]]&lt;3, "Beginners (0–2 days)", Table1[[#This Row],[Exercise_Frequency(week)]]&lt;5, "Intermediate (3–4 days)", Table1[[#This Row],[Exercise_Frequency(week)]]&lt;8, "Advanced (5–7 days)")</f>
        <v>Advanced (5–7 days)</v>
      </c>
      <c r="L140" t="s">
        <v>23</v>
      </c>
      <c r="M140" s="2">
        <v>8</v>
      </c>
    </row>
    <row r="141" spans="1:13" x14ac:dyDescent="0.5">
      <c r="A141" t="s">
        <v>42</v>
      </c>
      <c r="B141" s="2">
        <v>33</v>
      </c>
      <c r="C141" s="2" t="str" cm="1">
        <f t="array" ref="C141">_xlfn.IFS(B141&lt;25, "Youth (16–24)", B141&lt;35, "Young Adults (25–34)", B141&lt;45, "Adults (35–44)", B141&lt;55, "Middle-aged (45–54)")</f>
        <v>Young Adults (25–34)</v>
      </c>
      <c r="D141" t="s">
        <v>11</v>
      </c>
      <c r="E141" s="1">
        <v>7.4</v>
      </c>
      <c r="F141" s="1" t="str" cm="1">
        <f t="array" ref="F141">_xlfn.IFS(E141&lt;3, "Low (0–3 hrs)", E141&lt;6, "Moderate (3–6 hrs)", E141&lt;8, "High (6–8 hrs)", E141&gt;=8, "Very High (8+ hrs)")</f>
        <v>High (6–8 hrs)</v>
      </c>
      <c r="G141" s="2">
        <v>6</v>
      </c>
      <c r="H141" s="2">
        <v>10</v>
      </c>
      <c r="I141" s="2">
        <v>3</v>
      </c>
      <c r="J141" s="2">
        <v>4</v>
      </c>
      <c r="K141" s="2" t="str" cm="1">
        <f t="array" ref="K141">_xlfn.IFS(Table1[[#This Row],[Exercise_Frequency(week)]]&lt;3, "Beginners (0–2 days)", Table1[[#This Row],[Exercise_Frequency(week)]]&lt;5, "Intermediate (3–4 days)", Table1[[#This Row],[Exercise_Frequency(week)]]&lt;8, "Advanced (5–7 days)")</f>
        <v>Intermediate (3–4 days)</v>
      </c>
      <c r="L141" t="s">
        <v>23</v>
      </c>
      <c r="M141" s="2">
        <v>8</v>
      </c>
    </row>
    <row r="142" spans="1:13" x14ac:dyDescent="0.5">
      <c r="A142" t="s">
        <v>82</v>
      </c>
      <c r="B142" s="2">
        <v>26</v>
      </c>
      <c r="C142" s="2" t="str" cm="1">
        <f t="array" ref="C142">_xlfn.IFS(B142&lt;25, "Youth (16–24)", B142&lt;35, "Young Adults (25–34)", B142&lt;45, "Adults (35–44)", B142&lt;55, "Middle-aged (45–54)")</f>
        <v>Young Adults (25–34)</v>
      </c>
      <c r="D142" t="s">
        <v>16</v>
      </c>
      <c r="E142" s="1">
        <v>4.8</v>
      </c>
      <c r="F142" s="1" t="str" cm="1">
        <f t="array" ref="F142">_xlfn.IFS(E142&lt;3, "Low (0–3 hrs)", E142&lt;6, "Moderate (3–6 hrs)", E142&lt;8, "High (6–8 hrs)", E142&gt;=8, "Very High (8+ hrs)")</f>
        <v>Moderate (3–6 hrs)</v>
      </c>
      <c r="G142" s="2">
        <v>6</v>
      </c>
      <c r="H142" s="2">
        <v>6</v>
      </c>
      <c r="I142" s="2">
        <v>1</v>
      </c>
      <c r="J142" s="2">
        <v>4</v>
      </c>
      <c r="K142" s="2" t="str" cm="1">
        <f t="array" ref="K142">_xlfn.IFS(Table1[[#This Row],[Exercise_Frequency(week)]]&lt;3, "Beginners (0–2 days)", Table1[[#This Row],[Exercise_Frequency(week)]]&lt;5, "Intermediate (3–4 days)", Table1[[#This Row],[Exercise_Frequency(week)]]&lt;8, "Advanced (5–7 days)")</f>
        <v>Intermediate (3–4 days)</v>
      </c>
      <c r="L142" t="s">
        <v>13</v>
      </c>
      <c r="M142" s="2">
        <v>8</v>
      </c>
    </row>
    <row r="143" spans="1:13" x14ac:dyDescent="0.5">
      <c r="A143" t="s">
        <v>91</v>
      </c>
      <c r="B143" s="2">
        <v>49</v>
      </c>
      <c r="C143" s="2" t="str" cm="1">
        <f t="array" ref="C143">_xlfn.IFS(B143&lt;25, "Youth (16–24)", B143&lt;35, "Young Adults (25–34)", B143&lt;45, "Adults (35–44)", B143&lt;55, "Middle-aged (45–54)")</f>
        <v>Middle-aged (45–54)</v>
      </c>
      <c r="D143" t="s">
        <v>11</v>
      </c>
      <c r="E143" s="1">
        <v>7.5</v>
      </c>
      <c r="F143" s="1" t="str" cm="1">
        <f t="array" ref="F143">_xlfn.IFS(E143&lt;3, "Low (0–3 hrs)", E143&lt;6, "Moderate (3–6 hrs)", E143&lt;8, "High (6–8 hrs)", E143&gt;=8, "Very High (8+ hrs)")</f>
        <v>High (6–8 hrs)</v>
      </c>
      <c r="G143" s="2">
        <v>4</v>
      </c>
      <c r="H143" s="2">
        <v>7</v>
      </c>
      <c r="I143" s="2">
        <v>2</v>
      </c>
      <c r="J143" s="2">
        <v>4</v>
      </c>
      <c r="K143" s="2" t="str" cm="1">
        <f t="array" ref="K143">_xlfn.IFS(Table1[[#This Row],[Exercise_Frequency(week)]]&lt;3, "Beginners (0–2 days)", Table1[[#This Row],[Exercise_Frequency(week)]]&lt;5, "Intermediate (3–4 days)", Table1[[#This Row],[Exercise_Frequency(week)]]&lt;8, "Advanced (5–7 days)")</f>
        <v>Intermediate (3–4 days)</v>
      </c>
      <c r="L143" t="s">
        <v>19</v>
      </c>
      <c r="M143" s="2">
        <v>8</v>
      </c>
    </row>
    <row r="144" spans="1:13" x14ac:dyDescent="0.5">
      <c r="A144" t="s">
        <v>117</v>
      </c>
      <c r="B144" s="2">
        <v>47</v>
      </c>
      <c r="C144" s="2" t="str" cm="1">
        <f t="array" ref="C144">_xlfn.IFS(B144&lt;25, "Youth (16–24)", B144&lt;35, "Young Adults (25–34)", B144&lt;45, "Adults (35–44)", B144&lt;55, "Middle-aged (45–54)")</f>
        <v>Middle-aged (45–54)</v>
      </c>
      <c r="D144" t="s">
        <v>11</v>
      </c>
      <c r="E144" s="1">
        <v>7.3</v>
      </c>
      <c r="F144" s="1" t="str" cm="1">
        <f t="array" ref="F144">_xlfn.IFS(E144&lt;3, "Low (0–3 hrs)", E144&lt;6, "Moderate (3–6 hrs)", E144&lt;8, "High (6–8 hrs)", E144&gt;=8, "Very High (8+ hrs)")</f>
        <v>High (6–8 hrs)</v>
      </c>
      <c r="G144" s="2">
        <v>4</v>
      </c>
      <c r="H144" s="2">
        <v>6</v>
      </c>
      <c r="I144" s="2">
        <v>5</v>
      </c>
      <c r="J144" s="2">
        <v>4</v>
      </c>
      <c r="K144" s="2" t="str" cm="1">
        <f t="array" ref="K144">_xlfn.IFS(Table1[[#This Row],[Exercise_Frequency(week)]]&lt;3, "Beginners (0–2 days)", Table1[[#This Row],[Exercise_Frequency(week)]]&lt;5, "Intermediate (3–4 days)", Table1[[#This Row],[Exercise_Frequency(week)]]&lt;8, "Advanced (5–7 days)")</f>
        <v>Intermediate (3–4 days)</v>
      </c>
      <c r="L144" t="s">
        <v>17</v>
      </c>
      <c r="M144" s="2">
        <v>8</v>
      </c>
    </row>
    <row r="145" spans="1:13" x14ac:dyDescent="0.5">
      <c r="A145" t="s">
        <v>163</v>
      </c>
      <c r="B145" s="2">
        <v>26</v>
      </c>
      <c r="C145" s="2" t="str" cm="1">
        <f t="array" ref="C145">_xlfn.IFS(B145&lt;25, "Youth (16–24)", B145&lt;35, "Young Adults (25–34)", B145&lt;45, "Adults (35–44)", B145&lt;55, "Middle-aged (45–54)")</f>
        <v>Young Adults (25–34)</v>
      </c>
      <c r="D145" t="s">
        <v>16</v>
      </c>
      <c r="E145" s="1">
        <v>6.7</v>
      </c>
      <c r="F145" s="1" t="str" cm="1">
        <f t="array" ref="F145">_xlfn.IFS(E145&lt;3, "Low (0–3 hrs)", E145&lt;6, "Moderate (3–6 hrs)", E145&lt;8, "High (6–8 hrs)", E145&gt;=8, "Very High (8+ hrs)")</f>
        <v>High (6–8 hrs)</v>
      </c>
      <c r="G145" s="2">
        <v>5</v>
      </c>
      <c r="H145" s="2">
        <v>7</v>
      </c>
      <c r="I145" s="2">
        <v>2</v>
      </c>
      <c r="J145" s="2">
        <v>4</v>
      </c>
      <c r="K145" s="2" t="str" cm="1">
        <f t="array" ref="K145">_xlfn.IFS(Table1[[#This Row],[Exercise_Frequency(week)]]&lt;3, "Beginners (0–2 days)", Table1[[#This Row],[Exercise_Frequency(week)]]&lt;5, "Intermediate (3–4 days)", Table1[[#This Row],[Exercise_Frequency(week)]]&lt;8, "Advanced (5–7 days)")</f>
        <v>Intermediate (3–4 days)</v>
      </c>
      <c r="L145" t="s">
        <v>23</v>
      </c>
      <c r="M145" s="2">
        <v>8</v>
      </c>
    </row>
    <row r="146" spans="1:13" x14ac:dyDescent="0.5">
      <c r="A146" t="s">
        <v>182</v>
      </c>
      <c r="B146" s="2">
        <v>35</v>
      </c>
      <c r="C146" s="2" t="str" cm="1">
        <f t="array" ref="C146">_xlfn.IFS(B146&lt;25, "Youth (16–24)", B146&lt;35, "Young Adults (25–34)", B146&lt;45, "Adults (35–44)", B146&lt;55, "Middle-aged (45–54)")</f>
        <v>Adults (35–44)</v>
      </c>
      <c r="D146" t="s">
        <v>16</v>
      </c>
      <c r="E146" s="1">
        <v>6</v>
      </c>
      <c r="F146" s="1" t="str" cm="1">
        <f t="array" ref="F146">_xlfn.IFS(E146&lt;3, "Low (0–3 hrs)", E146&lt;6, "Moderate (3–6 hrs)", E146&lt;8, "High (6–8 hrs)", E146&gt;=8, "Very High (8+ hrs)")</f>
        <v>High (6–8 hrs)</v>
      </c>
      <c r="G146" s="2">
        <v>7</v>
      </c>
      <c r="H146" s="2">
        <v>7</v>
      </c>
      <c r="I146" s="2">
        <v>5</v>
      </c>
      <c r="J146" s="2">
        <v>4</v>
      </c>
      <c r="K146" s="2" t="str" cm="1">
        <f t="array" ref="K146">_xlfn.IFS(Table1[[#This Row],[Exercise_Frequency(week)]]&lt;3, "Beginners (0–2 days)", Table1[[#This Row],[Exercise_Frequency(week)]]&lt;5, "Intermediate (3–4 days)", Table1[[#This Row],[Exercise_Frequency(week)]]&lt;8, "Advanced (5–7 days)")</f>
        <v>Intermediate (3–4 days)</v>
      </c>
      <c r="L146" t="s">
        <v>19</v>
      </c>
      <c r="M146" s="2">
        <v>8</v>
      </c>
    </row>
    <row r="147" spans="1:13" x14ac:dyDescent="0.5">
      <c r="A147" t="s">
        <v>189</v>
      </c>
      <c r="B147" s="2">
        <v>38</v>
      </c>
      <c r="C147" s="2" t="str" cm="1">
        <f t="array" ref="C147">_xlfn.IFS(B147&lt;25, "Youth (16–24)", B147&lt;35, "Young Adults (25–34)", B147&lt;45, "Adults (35–44)", B147&lt;55, "Middle-aged (45–54)")</f>
        <v>Adults (35–44)</v>
      </c>
      <c r="D147" t="s">
        <v>11</v>
      </c>
      <c r="E147" s="1">
        <v>6.4</v>
      </c>
      <c r="F147" s="1" t="str" cm="1">
        <f t="array" ref="F147">_xlfn.IFS(E147&lt;3, "Low (0–3 hrs)", E147&lt;6, "Moderate (3–6 hrs)", E147&lt;8, "High (6–8 hrs)", E147&gt;=8, "Very High (8+ hrs)")</f>
        <v>High (6–8 hrs)</v>
      </c>
      <c r="G147" s="2">
        <v>6</v>
      </c>
      <c r="H147" s="2">
        <v>7</v>
      </c>
      <c r="I147" s="2">
        <v>0</v>
      </c>
      <c r="J147" s="2">
        <v>4</v>
      </c>
      <c r="K147" s="2" t="str" cm="1">
        <f t="array" ref="K147">_xlfn.IFS(Table1[[#This Row],[Exercise_Frequency(week)]]&lt;3, "Beginners (0–2 days)", Table1[[#This Row],[Exercise_Frequency(week)]]&lt;5, "Intermediate (3–4 days)", Table1[[#This Row],[Exercise_Frequency(week)]]&lt;8, "Advanced (5–7 days)")</f>
        <v>Intermediate (3–4 days)</v>
      </c>
      <c r="L147" t="s">
        <v>12</v>
      </c>
      <c r="M147" s="2">
        <v>8</v>
      </c>
    </row>
    <row r="148" spans="1:13" x14ac:dyDescent="0.5">
      <c r="A148" t="s">
        <v>255</v>
      </c>
      <c r="B148" s="2">
        <v>48</v>
      </c>
      <c r="C148" s="2" t="str" cm="1">
        <f t="array" ref="C148">_xlfn.IFS(B148&lt;25, "Youth (16–24)", B148&lt;35, "Young Adults (25–34)", B148&lt;45, "Adults (35–44)", B148&lt;55, "Middle-aged (45–54)")</f>
        <v>Middle-aged (45–54)</v>
      </c>
      <c r="D148" t="s">
        <v>11</v>
      </c>
      <c r="E148" s="1">
        <v>6.5</v>
      </c>
      <c r="F148" s="1" t="str" cm="1">
        <f t="array" ref="F148">_xlfn.IFS(E148&lt;3, "Low (0–3 hrs)", E148&lt;6, "Moderate (3–6 hrs)", E148&lt;8, "High (6–8 hrs)", E148&gt;=8, "Very High (8+ hrs)")</f>
        <v>High (6–8 hrs)</v>
      </c>
      <c r="G148" s="2">
        <v>5</v>
      </c>
      <c r="H148" s="2">
        <v>8</v>
      </c>
      <c r="I148" s="2">
        <v>6</v>
      </c>
      <c r="J148" s="2">
        <v>4</v>
      </c>
      <c r="K148" s="2" t="str" cm="1">
        <f t="array" ref="K148">_xlfn.IFS(Table1[[#This Row],[Exercise_Frequency(week)]]&lt;3, "Beginners (0–2 days)", Table1[[#This Row],[Exercise_Frequency(week)]]&lt;5, "Intermediate (3–4 days)", Table1[[#This Row],[Exercise_Frequency(week)]]&lt;8, "Advanced (5–7 days)")</f>
        <v>Intermediate (3–4 days)</v>
      </c>
      <c r="L148" t="s">
        <v>23</v>
      </c>
      <c r="M148" s="2">
        <v>8</v>
      </c>
    </row>
    <row r="149" spans="1:13" x14ac:dyDescent="0.5">
      <c r="A149" t="s">
        <v>297</v>
      </c>
      <c r="B149" s="2">
        <v>23</v>
      </c>
      <c r="C149" s="2" t="str" cm="1">
        <f t="array" ref="C149">_xlfn.IFS(B149&lt;25, "Youth (16–24)", B149&lt;35, "Young Adults (25–34)", B149&lt;45, "Adults (35–44)", B149&lt;55, "Middle-aged (45–54)")</f>
        <v>Youth (16–24)</v>
      </c>
      <c r="D149" t="s">
        <v>16</v>
      </c>
      <c r="E149" s="1">
        <v>5</v>
      </c>
      <c r="F149" s="1" t="str" cm="1">
        <f t="array" ref="F149">_xlfn.IFS(E149&lt;3, "Low (0–3 hrs)", E149&lt;6, "Moderate (3–6 hrs)", E149&lt;8, "High (6–8 hrs)", E149&gt;=8, "Very High (8+ hrs)")</f>
        <v>Moderate (3–6 hrs)</v>
      </c>
      <c r="G149" s="2">
        <v>5</v>
      </c>
      <c r="H149" s="2">
        <v>7</v>
      </c>
      <c r="I149" s="2">
        <v>2</v>
      </c>
      <c r="J149" s="2">
        <v>4</v>
      </c>
      <c r="K149" s="2" t="str" cm="1">
        <f t="array" ref="K149">_xlfn.IFS(Table1[[#This Row],[Exercise_Frequency(week)]]&lt;3, "Beginners (0–2 days)", Table1[[#This Row],[Exercise_Frequency(week)]]&lt;5, "Intermediate (3–4 days)", Table1[[#This Row],[Exercise_Frequency(week)]]&lt;8, "Advanced (5–7 days)")</f>
        <v>Intermediate (3–4 days)</v>
      </c>
      <c r="L149" t="s">
        <v>23</v>
      </c>
      <c r="M149" s="2">
        <v>8</v>
      </c>
    </row>
    <row r="150" spans="1:13" x14ac:dyDescent="0.5">
      <c r="A150" t="s">
        <v>303</v>
      </c>
      <c r="B150" s="2">
        <v>31</v>
      </c>
      <c r="C150" s="2" t="str" cm="1">
        <f t="array" ref="C150">_xlfn.IFS(B150&lt;25, "Youth (16–24)", B150&lt;35, "Young Adults (25–34)", B150&lt;45, "Adults (35–44)", B150&lt;55, "Middle-aged (45–54)")</f>
        <v>Young Adults (25–34)</v>
      </c>
      <c r="D150" t="s">
        <v>16</v>
      </c>
      <c r="E150" s="1">
        <v>7</v>
      </c>
      <c r="F150" s="1" t="str" cm="1">
        <f t="array" ref="F150">_xlfn.IFS(E150&lt;3, "Low (0–3 hrs)", E150&lt;6, "Moderate (3–6 hrs)", E150&lt;8, "High (6–8 hrs)", E150&gt;=8, "Very High (8+ hrs)")</f>
        <v>High (6–8 hrs)</v>
      </c>
      <c r="G150" s="2">
        <v>5</v>
      </c>
      <c r="H150" s="2">
        <v>6</v>
      </c>
      <c r="I150" s="2">
        <v>3</v>
      </c>
      <c r="J150" s="2">
        <v>4</v>
      </c>
      <c r="K150" s="2" t="str" cm="1">
        <f t="array" ref="K150">_xlfn.IFS(Table1[[#This Row],[Exercise_Frequency(week)]]&lt;3, "Beginners (0–2 days)", Table1[[#This Row],[Exercise_Frequency(week)]]&lt;5, "Intermediate (3–4 days)", Table1[[#This Row],[Exercise_Frequency(week)]]&lt;8, "Advanced (5–7 days)")</f>
        <v>Intermediate (3–4 days)</v>
      </c>
      <c r="L150" t="s">
        <v>14</v>
      </c>
      <c r="M150" s="2">
        <v>8</v>
      </c>
    </row>
    <row r="151" spans="1:13" x14ac:dyDescent="0.5">
      <c r="A151" t="s">
        <v>309</v>
      </c>
      <c r="B151" s="2">
        <v>43</v>
      </c>
      <c r="C151" s="2" t="str" cm="1">
        <f t="array" ref="C151">_xlfn.IFS(B151&lt;25, "Youth (16–24)", B151&lt;35, "Young Adults (25–34)", B151&lt;45, "Adults (35–44)", B151&lt;55, "Middle-aged (45–54)")</f>
        <v>Adults (35–44)</v>
      </c>
      <c r="D151" t="s">
        <v>16</v>
      </c>
      <c r="E151" s="1">
        <v>5</v>
      </c>
      <c r="F151" s="1" t="str" cm="1">
        <f t="array" ref="F151">_xlfn.IFS(E151&lt;3, "Low (0–3 hrs)", E151&lt;6, "Moderate (3–6 hrs)", E151&lt;8, "High (6–8 hrs)", E151&gt;=8, "Very High (8+ hrs)")</f>
        <v>Moderate (3–6 hrs)</v>
      </c>
      <c r="G151" s="2">
        <v>5</v>
      </c>
      <c r="H151" s="2">
        <v>6</v>
      </c>
      <c r="I151" s="2">
        <v>0</v>
      </c>
      <c r="J151" s="2">
        <v>4</v>
      </c>
      <c r="K151" s="2" t="str" cm="1">
        <f t="array" ref="K151">_xlfn.IFS(Table1[[#This Row],[Exercise_Frequency(week)]]&lt;3, "Beginners (0–2 days)", Table1[[#This Row],[Exercise_Frequency(week)]]&lt;5, "Intermediate (3–4 days)", Table1[[#This Row],[Exercise_Frequency(week)]]&lt;8, "Advanced (5–7 days)")</f>
        <v>Intermediate (3–4 days)</v>
      </c>
      <c r="L151" t="s">
        <v>12</v>
      </c>
      <c r="M151" s="2">
        <v>8</v>
      </c>
    </row>
    <row r="152" spans="1:13" x14ac:dyDescent="0.5">
      <c r="A152" t="s">
        <v>343</v>
      </c>
      <c r="B152" s="2">
        <v>25</v>
      </c>
      <c r="C152" s="2" t="str" cm="1">
        <f t="array" ref="C152">_xlfn.IFS(B152&lt;25, "Youth (16–24)", B152&lt;35, "Young Adults (25–34)", B152&lt;45, "Adults (35–44)", B152&lt;55, "Middle-aged (45–54)")</f>
        <v>Young Adults (25–34)</v>
      </c>
      <c r="D152" t="s">
        <v>11</v>
      </c>
      <c r="E152" s="1">
        <v>6.3</v>
      </c>
      <c r="F152" s="1" t="str" cm="1">
        <f t="array" ref="F152">_xlfn.IFS(E152&lt;3, "Low (0–3 hrs)", E152&lt;6, "Moderate (3–6 hrs)", E152&lt;8, "High (6–8 hrs)", E152&gt;=8, "Very High (8+ hrs)")</f>
        <v>High (6–8 hrs)</v>
      </c>
      <c r="G152" s="2">
        <v>5</v>
      </c>
      <c r="H152" s="2">
        <v>9</v>
      </c>
      <c r="I152" s="2">
        <v>5</v>
      </c>
      <c r="J152" s="2">
        <v>4</v>
      </c>
      <c r="K152" s="2" t="str" cm="1">
        <f t="array" ref="K152">_xlfn.IFS(Table1[[#This Row],[Exercise_Frequency(week)]]&lt;3, "Beginners (0–2 days)", Table1[[#This Row],[Exercise_Frequency(week)]]&lt;5, "Intermediate (3–4 days)", Table1[[#This Row],[Exercise_Frequency(week)]]&lt;8, "Advanced (5–7 days)")</f>
        <v>Intermediate (3–4 days)</v>
      </c>
      <c r="L152" t="s">
        <v>12</v>
      </c>
      <c r="M152" s="2">
        <v>8</v>
      </c>
    </row>
    <row r="153" spans="1:13" x14ac:dyDescent="0.5">
      <c r="A153" t="s">
        <v>345</v>
      </c>
      <c r="B153" s="2">
        <v>49</v>
      </c>
      <c r="C153" s="2" t="str" cm="1">
        <f t="array" ref="C153">_xlfn.IFS(B153&lt;25, "Youth (16–24)", B153&lt;35, "Young Adults (25–34)", B153&lt;45, "Adults (35–44)", B153&lt;55, "Middle-aged (45–54)")</f>
        <v>Middle-aged (45–54)</v>
      </c>
      <c r="D153" t="s">
        <v>11</v>
      </c>
      <c r="E153" s="1">
        <v>6.7</v>
      </c>
      <c r="F153" s="1" t="str" cm="1">
        <f t="array" ref="F153">_xlfn.IFS(E153&lt;3, "Low (0–3 hrs)", E153&lt;6, "Moderate (3–6 hrs)", E153&lt;8, "High (6–8 hrs)", E153&gt;=8, "Very High (8+ hrs)")</f>
        <v>High (6–8 hrs)</v>
      </c>
      <c r="G153" s="2">
        <v>6</v>
      </c>
      <c r="H153" s="2">
        <v>8</v>
      </c>
      <c r="I153" s="2">
        <v>1</v>
      </c>
      <c r="J153" s="2">
        <v>4</v>
      </c>
      <c r="K153" s="2" t="str" cm="1">
        <f t="array" ref="K153">_xlfn.IFS(Table1[[#This Row],[Exercise_Frequency(week)]]&lt;3, "Beginners (0–2 days)", Table1[[#This Row],[Exercise_Frequency(week)]]&lt;5, "Intermediate (3–4 days)", Table1[[#This Row],[Exercise_Frequency(week)]]&lt;8, "Advanced (5–7 days)")</f>
        <v>Intermediate (3–4 days)</v>
      </c>
      <c r="L153" t="s">
        <v>23</v>
      </c>
      <c r="M153" s="2">
        <v>8</v>
      </c>
    </row>
    <row r="154" spans="1:13" x14ac:dyDescent="0.5">
      <c r="A154" t="s">
        <v>386</v>
      </c>
      <c r="B154" s="2">
        <v>36</v>
      </c>
      <c r="C154" s="2" t="str" cm="1">
        <f t="array" ref="C154">_xlfn.IFS(B154&lt;25, "Youth (16–24)", B154&lt;35, "Young Adults (25–34)", B154&lt;45, "Adults (35–44)", B154&lt;55, "Middle-aged (45–54)")</f>
        <v>Adults (35–44)</v>
      </c>
      <c r="D154" t="s">
        <v>16</v>
      </c>
      <c r="E154" s="1">
        <v>6.8</v>
      </c>
      <c r="F154" s="1" t="str" cm="1">
        <f t="array" ref="F154">_xlfn.IFS(E154&lt;3, "Low (0–3 hrs)", E154&lt;6, "Moderate (3–6 hrs)", E154&lt;8, "High (6–8 hrs)", E154&gt;=8, "Very High (8+ hrs)")</f>
        <v>High (6–8 hrs)</v>
      </c>
      <c r="G154" s="2">
        <v>5</v>
      </c>
      <c r="H154" s="2">
        <v>8</v>
      </c>
      <c r="I154" s="2">
        <v>3</v>
      </c>
      <c r="J154" s="2">
        <v>4</v>
      </c>
      <c r="K154" s="2" t="str" cm="1">
        <f t="array" ref="K154">_xlfn.IFS(Table1[[#This Row],[Exercise_Frequency(week)]]&lt;3, "Beginners (0–2 days)", Table1[[#This Row],[Exercise_Frequency(week)]]&lt;5, "Intermediate (3–4 days)", Table1[[#This Row],[Exercise_Frequency(week)]]&lt;8, "Advanced (5–7 days)")</f>
        <v>Intermediate (3–4 days)</v>
      </c>
      <c r="L154" t="s">
        <v>14</v>
      </c>
      <c r="M154" s="2">
        <v>8</v>
      </c>
    </row>
    <row r="155" spans="1:13" x14ac:dyDescent="0.5">
      <c r="A155" t="s">
        <v>405</v>
      </c>
      <c r="B155" s="2">
        <v>34</v>
      </c>
      <c r="C155" s="2" t="str" cm="1">
        <f t="array" ref="C155">_xlfn.IFS(B155&lt;25, "Youth (16–24)", B155&lt;35, "Young Adults (25–34)", B155&lt;45, "Adults (35–44)", B155&lt;55, "Middle-aged (45–54)")</f>
        <v>Young Adults (25–34)</v>
      </c>
      <c r="D155" t="s">
        <v>16</v>
      </c>
      <c r="E155" s="1">
        <v>5.3</v>
      </c>
      <c r="F155" s="1" t="str" cm="1">
        <f t="array" ref="F155">_xlfn.IFS(E155&lt;3, "Low (0–3 hrs)", E155&lt;6, "Moderate (3–6 hrs)", E155&lt;8, "High (6–8 hrs)", E155&gt;=8, "Very High (8+ hrs)")</f>
        <v>Moderate (3–6 hrs)</v>
      </c>
      <c r="G155" s="2">
        <v>6</v>
      </c>
      <c r="H155" s="2">
        <v>6</v>
      </c>
      <c r="I155" s="2">
        <v>6</v>
      </c>
      <c r="J155" s="2">
        <v>4</v>
      </c>
      <c r="K155" s="2" t="str" cm="1">
        <f t="array" ref="K155">_xlfn.IFS(Table1[[#This Row],[Exercise_Frequency(week)]]&lt;3, "Beginners (0–2 days)", Table1[[#This Row],[Exercise_Frequency(week)]]&lt;5, "Intermediate (3–4 days)", Table1[[#This Row],[Exercise_Frequency(week)]]&lt;8, "Advanced (5–7 days)")</f>
        <v>Intermediate (3–4 days)</v>
      </c>
      <c r="L155" t="s">
        <v>17</v>
      </c>
      <c r="M155" s="2">
        <v>8</v>
      </c>
    </row>
    <row r="156" spans="1:13" x14ac:dyDescent="0.5">
      <c r="A156" t="s">
        <v>417</v>
      </c>
      <c r="B156" s="2">
        <v>40</v>
      </c>
      <c r="C156" s="2" t="str" cm="1">
        <f t="array" ref="C156">_xlfn.IFS(B156&lt;25, "Youth (16–24)", B156&lt;35, "Young Adults (25–34)", B156&lt;45, "Adults (35–44)", B156&lt;55, "Middle-aged (45–54)")</f>
        <v>Adults (35–44)</v>
      </c>
      <c r="D156" t="s">
        <v>16</v>
      </c>
      <c r="E156" s="1">
        <v>5.8</v>
      </c>
      <c r="F156" s="1" t="str" cm="1">
        <f t="array" ref="F156">_xlfn.IFS(E156&lt;3, "Low (0–3 hrs)", E156&lt;6, "Moderate (3–6 hrs)", E156&lt;8, "High (6–8 hrs)", E156&gt;=8, "Very High (8+ hrs)")</f>
        <v>Moderate (3–6 hrs)</v>
      </c>
      <c r="G156" s="2">
        <v>7</v>
      </c>
      <c r="H156" s="2">
        <v>8</v>
      </c>
      <c r="I156" s="2">
        <v>4</v>
      </c>
      <c r="J156" s="2">
        <v>4</v>
      </c>
      <c r="K156" s="2" t="str" cm="1">
        <f t="array" ref="K156">_xlfn.IFS(Table1[[#This Row],[Exercise_Frequency(week)]]&lt;3, "Beginners (0–2 days)", Table1[[#This Row],[Exercise_Frequency(week)]]&lt;5, "Intermediate (3–4 days)", Table1[[#This Row],[Exercise_Frequency(week)]]&lt;8, "Advanced (5–7 days)")</f>
        <v>Intermediate (3–4 days)</v>
      </c>
      <c r="L156" t="s">
        <v>17</v>
      </c>
      <c r="M156" s="2">
        <v>8</v>
      </c>
    </row>
    <row r="157" spans="1:13" x14ac:dyDescent="0.5">
      <c r="A157" t="s">
        <v>422</v>
      </c>
      <c r="B157" s="2">
        <v>46</v>
      </c>
      <c r="C157" s="2" t="str" cm="1">
        <f t="array" ref="C157">_xlfn.IFS(B157&lt;25, "Youth (16–24)", B157&lt;35, "Young Adults (25–34)", B157&lt;45, "Adults (35–44)", B157&lt;55, "Middle-aged (45–54)")</f>
        <v>Middle-aged (45–54)</v>
      </c>
      <c r="D157" t="s">
        <v>16</v>
      </c>
      <c r="E157" s="1">
        <v>6.4</v>
      </c>
      <c r="F157" s="1" t="str" cm="1">
        <f t="array" ref="F157">_xlfn.IFS(E157&lt;3, "Low (0–3 hrs)", E157&lt;6, "Moderate (3–6 hrs)", E157&lt;8, "High (6–8 hrs)", E157&gt;=8, "Very High (8+ hrs)")</f>
        <v>High (6–8 hrs)</v>
      </c>
      <c r="G157" s="2">
        <v>6</v>
      </c>
      <c r="H157" s="2">
        <v>8</v>
      </c>
      <c r="I157" s="2">
        <v>5</v>
      </c>
      <c r="J157" s="2">
        <v>4</v>
      </c>
      <c r="K157" s="2" t="str" cm="1">
        <f t="array" ref="K157">_xlfn.IFS(Table1[[#This Row],[Exercise_Frequency(week)]]&lt;3, "Beginners (0–2 days)", Table1[[#This Row],[Exercise_Frequency(week)]]&lt;5, "Intermediate (3–4 days)", Table1[[#This Row],[Exercise_Frequency(week)]]&lt;8, "Advanced (5–7 days)")</f>
        <v>Intermediate (3–4 days)</v>
      </c>
      <c r="L157" t="s">
        <v>19</v>
      </c>
      <c r="M157" s="2">
        <v>8</v>
      </c>
    </row>
    <row r="158" spans="1:13" x14ac:dyDescent="0.5">
      <c r="A158" t="s">
        <v>456</v>
      </c>
      <c r="B158" s="2">
        <v>35</v>
      </c>
      <c r="C158" s="2" t="str" cm="1">
        <f t="array" ref="C158">_xlfn.IFS(B158&lt;25, "Youth (16–24)", B158&lt;35, "Young Adults (25–34)", B158&lt;45, "Adults (35–44)", B158&lt;55, "Middle-aged (45–54)")</f>
        <v>Adults (35–44)</v>
      </c>
      <c r="D158" t="s">
        <v>11</v>
      </c>
      <c r="E158" s="1">
        <v>4.5</v>
      </c>
      <c r="F158" s="1" t="str" cm="1">
        <f t="array" ref="F158">_xlfn.IFS(E158&lt;3, "Low (0–3 hrs)", E158&lt;6, "Moderate (3–6 hrs)", E158&lt;8, "High (6–8 hrs)", E158&gt;=8, "Very High (8+ hrs)")</f>
        <v>Moderate (3–6 hrs)</v>
      </c>
      <c r="G158" s="2">
        <v>7</v>
      </c>
      <c r="H158" s="2">
        <v>8</v>
      </c>
      <c r="I158" s="2">
        <v>4</v>
      </c>
      <c r="J158" s="2">
        <v>4</v>
      </c>
      <c r="K158" s="2" t="str" cm="1">
        <f t="array" ref="K158">_xlfn.IFS(Table1[[#This Row],[Exercise_Frequency(week)]]&lt;3, "Beginners (0–2 days)", Table1[[#This Row],[Exercise_Frequency(week)]]&lt;5, "Intermediate (3–4 days)", Table1[[#This Row],[Exercise_Frequency(week)]]&lt;8, "Advanced (5–7 days)")</f>
        <v>Intermediate (3–4 days)</v>
      </c>
      <c r="L158" t="s">
        <v>23</v>
      </c>
      <c r="M158" s="2">
        <v>8</v>
      </c>
    </row>
    <row r="159" spans="1:13" x14ac:dyDescent="0.5">
      <c r="A159" t="s">
        <v>461</v>
      </c>
      <c r="B159" s="2">
        <v>28</v>
      </c>
      <c r="C159" s="2" t="str" cm="1">
        <f t="array" ref="C159">_xlfn.IFS(B159&lt;25, "Youth (16–24)", B159&lt;35, "Young Adults (25–34)", B159&lt;45, "Adults (35–44)", B159&lt;55, "Middle-aged (45–54)")</f>
        <v>Young Adults (25–34)</v>
      </c>
      <c r="D159" t="s">
        <v>11</v>
      </c>
      <c r="E159" s="1">
        <v>4.4000000000000004</v>
      </c>
      <c r="F159" s="1" t="str" cm="1">
        <f t="array" ref="F159">_xlfn.IFS(E159&lt;3, "Low (0–3 hrs)", E159&lt;6, "Moderate (3–6 hrs)", E159&lt;8, "High (6–8 hrs)", E159&gt;=8, "Very High (8+ hrs)")</f>
        <v>Moderate (3–6 hrs)</v>
      </c>
      <c r="G159" s="2">
        <v>7</v>
      </c>
      <c r="H159" s="2">
        <v>7</v>
      </c>
      <c r="I159" s="2">
        <v>3</v>
      </c>
      <c r="J159" s="2">
        <v>4</v>
      </c>
      <c r="K159" s="2" t="str" cm="1">
        <f t="array" ref="K159">_xlfn.IFS(Table1[[#This Row],[Exercise_Frequency(week)]]&lt;3, "Beginners (0–2 days)", Table1[[#This Row],[Exercise_Frequency(week)]]&lt;5, "Intermediate (3–4 days)", Table1[[#This Row],[Exercise_Frequency(week)]]&lt;8, "Advanced (5–7 days)")</f>
        <v>Intermediate (3–4 days)</v>
      </c>
      <c r="L159" t="s">
        <v>17</v>
      </c>
      <c r="M159" s="2">
        <v>8</v>
      </c>
    </row>
    <row r="160" spans="1:13" x14ac:dyDescent="0.5">
      <c r="A160" t="s">
        <v>469</v>
      </c>
      <c r="B160" s="2">
        <v>36</v>
      </c>
      <c r="C160" s="2" t="str" cm="1">
        <f t="array" ref="C160">_xlfn.IFS(B160&lt;25, "Youth (16–24)", B160&lt;35, "Young Adults (25–34)", B160&lt;45, "Adults (35–44)", B160&lt;55, "Middle-aged (45–54)")</f>
        <v>Adults (35–44)</v>
      </c>
      <c r="D160" t="s">
        <v>16</v>
      </c>
      <c r="E160" s="1">
        <v>6.3</v>
      </c>
      <c r="F160" s="1" t="str" cm="1">
        <f t="array" ref="F160">_xlfn.IFS(E160&lt;3, "Low (0–3 hrs)", E160&lt;6, "Moderate (3–6 hrs)", E160&lt;8, "High (6–8 hrs)", E160&gt;=8, "Very High (8+ hrs)")</f>
        <v>High (6–8 hrs)</v>
      </c>
      <c r="G160" s="2">
        <v>7</v>
      </c>
      <c r="H160" s="2">
        <v>7</v>
      </c>
      <c r="I160" s="2">
        <v>3</v>
      </c>
      <c r="J160" s="2">
        <v>4</v>
      </c>
      <c r="K160" s="2" t="str" cm="1">
        <f t="array" ref="K160">_xlfn.IFS(Table1[[#This Row],[Exercise_Frequency(week)]]&lt;3, "Beginners (0–2 days)", Table1[[#This Row],[Exercise_Frequency(week)]]&lt;5, "Intermediate (3–4 days)", Table1[[#This Row],[Exercise_Frequency(week)]]&lt;8, "Advanced (5–7 days)")</f>
        <v>Intermediate (3–4 days)</v>
      </c>
      <c r="L160" t="s">
        <v>17</v>
      </c>
      <c r="M160" s="2">
        <v>8</v>
      </c>
    </row>
    <row r="161" spans="1:13" x14ac:dyDescent="0.5">
      <c r="A161" t="s">
        <v>20</v>
      </c>
      <c r="B161" s="2">
        <v>38</v>
      </c>
      <c r="C161" s="2" t="str" cm="1">
        <f t="array" ref="C161">_xlfn.IFS(B161&lt;25, "Youth (16–24)", B161&lt;35, "Young Adults (25–34)", B161&lt;45, "Adults (35–44)", B161&lt;55, "Middle-aged (45–54)")</f>
        <v>Adults (35–44)</v>
      </c>
      <c r="D161" t="s">
        <v>11</v>
      </c>
      <c r="E161" s="1">
        <v>6.6</v>
      </c>
      <c r="F161" s="1" t="str" cm="1">
        <f t="array" ref="F161">_xlfn.IFS(E161&lt;3, "Low (0–3 hrs)", E161&lt;6, "Moderate (3–6 hrs)", E161&lt;8, "High (6–8 hrs)", E161&gt;=8, "Very High (8+ hrs)")</f>
        <v>High (6–8 hrs)</v>
      </c>
      <c r="G161" s="2">
        <v>5</v>
      </c>
      <c r="H161" s="2">
        <v>7</v>
      </c>
      <c r="I161" s="2">
        <v>4</v>
      </c>
      <c r="J161" s="2">
        <v>3</v>
      </c>
      <c r="K161" s="2" t="str" cm="1">
        <f t="array" ref="K161">_xlfn.IFS(Table1[[#This Row],[Exercise_Frequency(week)]]&lt;3, "Beginners (0–2 days)", Table1[[#This Row],[Exercise_Frequency(week)]]&lt;5, "Intermediate (3–4 days)", Table1[[#This Row],[Exercise_Frequency(week)]]&lt;8, "Advanced (5–7 days)")</f>
        <v>Intermediate (3–4 days)</v>
      </c>
      <c r="L161" t="s">
        <v>13</v>
      </c>
      <c r="M161" s="2">
        <v>8</v>
      </c>
    </row>
    <row r="162" spans="1:13" x14ac:dyDescent="0.5">
      <c r="A162" t="s">
        <v>47</v>
      </c>
      <c r="B162" s="2">
        <v>35</v>
      </c>
      <c r="C162" s="2" t="str" cm="1">
        <f t="array" ref="C162">_xlfn.IFS(B162&lt;25, "Youth (16–24)", B162&lt;35, "Young Adults (25–34)", B162&lt;45, "Adults (35–44)", B162&lt;55, "Middle-aged (45–54)")</f>
        <v>Adults (35–44)</v>
      </c>
      <c r="D162" t="s">
        <v>16</v>
      </c>
      <c r="E162" s="1">
        <v>7.7</v>
      </c>
      <c r="F162" s="1" t="str" cm="1">
        <f t="array" ref="F162">_xlfn.IFS(E162&lt;3, "Low (0–3 hrs)", E162&lt;6, "Moderate (3–6 hrs)", E162&lt;8, "High (6–8 hrs)", E162&gt;=8, "Very High (8+ hrs)")</f>
        <v>High (6–8 hrs)</v>
      </c>
      <c r="G162" s="2">
        <v>4</v>
      </c>
      <c r="H162" s="2">
        <v>8</v>
      </c>
      <c r="I162" s="2">
        <v>0</v>
      </c>
      <c r="J162" s="2">
        <v>3</v>
      </c>
      <c r="K162" s="2" t="str" cm="1">
        <f t="array" ref="K162">_xlfn.IFS(Table1[[#This Row],[Exercise_Frequency(week)]]&lt;3, "Beginners (0–2 days)", Table1[[#This Row],[Exercise_Frequency(week)]]&lt;5, "Intermediate (3–4 days)", Table1[[#This Row],[Exercise_Frequency(week)]]&lt;8, "Advanced (5–7 days)")</f>
        <v>Intermediate (3–4 days)</v>
      </c>
      <c r="L162" t="s">
        <v>12</v>
      </c>
      <c r="M162" s="2">
        <v>8</v>
      </c>
    </row>
    <row r="163" spans="1:13" x14ac:dyDescent="0.5">
      <c r="A163" t="s">
        <v>63</v>
      </c>
      <c r="B163" s="2">
        <v>23</v>
      </c>
      <c r="C163" s="2" t="str" cm="1">
        <f t="array" ref="C163">_xlfn.IFS(B163&lt;25, "Youth (16–24)", B163&lt;35, "Young Adults (25–34)", B163&lt;45, "Adults (35–44)", B163&lt;55, "Middle-aged (45–54)")</f>
        <v>Youth (16–24)</v>
      </c>
      <c r="D163" t="s">
        <v>16</v>
      </c>
      <c r="E163" s="1">
        <v>5.2</v>
      </c>
      <c r="F163" s="1" t="str" cm="1">
        <f t="array" ref="F163">_xlfn.IFS(E163&lt;3, "Low (0–3 hrs)", E163&lt;6, "Moderate (3–6 hrs)", E163&lt;8, "High (6–8 hrs)", E163&gt;=8, "Very High (8+ hrs)")</f>
        <v>Moderate (3–6 hrs)</v>
      </c>
      <c r="G163" s="2">
        <v>6</v>
      </c>
      <c r="H163" s="2">
        <v>6</v>
      </c>
      <c r="I163" s="2">
        <v>7</v>
      </c>
      <c r="J163" s="2">
        <v>3</v>
      </c>
      <c r="K163" s="2" t="str" cm="1">
        <f t="array" ref="K163">_xlfn.IFS(Table1[[#This Row],[Exercise_Frequency(week)]]&lt;3, "Beginners (0–2 days)", Table1[[#This Row],[Exercise_Frequency(week)]]&lt;5, "Intermediate (3–4 days)", Table1[[#This Row],[Exercise_Frequency(week)]]&lt;8, "Advanced (5–7 days)")</f>
        <v>Intermediate (3–4 days)</v>
      </c>
      <c r="L163" t="s">
        <v>14</v>
      </c>
      <c r="M163" s="2">
        <v>8</v>
      </c>
    </row>
    <row r="164" spans="1:13" x14ac:dyDescent="0.5">
      <c r="A164" t="s">
        <v>80</v>
      </c>
      <c r="B164" s="2">
        <v>23</v>
      </c>
      <c r="C164" s="2" t="str" cm="1">
        <f t="array" ref="C164">_xlfn.IFS(B164&lt;25, "Youth (16–24)", B164&lt;35, "Young Adults (25–34)", B164&lt;45, "Adults (35–44)", B164&lt;55, "Middle-aged (45–54)")</f>
        <v>Youth (16–24)</v>
      </c>
      <c r="D164" t="s">
        <v>16</v>
      </c>
      <c r="E164" s="1">
        <v>7.4</v>
      </c>
      <c r="F164" s="1" t="str" cm="1">
        <f t="array" ref="F164">_xlfn.IFS(E164&lt;3, "Low (0–3 hrs)", E164&lt;6, "Moderate (3–6 hrs)", E164&lt;8, "High (6–8 hrs)", E164&gt;=8, "Very High (8+ hrs)")</f>
        <v>High (6–8 hrs)</v>
      </c>
      <c r="G164" s="2">
        <v>6</v>
      </c>
      <c r="H164" s="2">
        <v>7</v>
      </c>
      <c r="I164" s="2">
        <v>2</v>
      </c>
      <c r="J164" s="2">
        <v>3</v>
      </c>
      <c r="K164" s="2" t="str" cm="1">
        <f t="array" ref="K164">_xlfn.IFS(Table1[[#This Row],[Exercise_Frequency(week)]]&lt;3, "Beginners (0–2 days)", Table1[[#This Row],[Exercise_Frequency(week)]]&lt;5, "Intermediate (3–4 days)", Table1[[#This Row],[Exercise_Frequency(week)]]&lt;8, "Advanced (5–7 days)")</f>
        <v>Intermediate (3–4 days)</v>
      </c>
      <c r="L164" t="s">
        <v>17</v>
      </c>
      <c r="M164" s="2">
        <v>8</v>
      </c>
    </row>
    <row r="165" spans="1:13" x14ac:dyDescent="0.5">
      <c r="A165" t="s">
        <v>103</v>
      </c>
      <c r="B165" s="2">
        <v>42</v>
      </c>
      <c r="C165" s="2" t="str" cm="1">
        <f t="array" ref="C165">_xlfn.IFS(B165&lt;25, "Youth (16–24)", B165&lt;35, "Young Adults (25–34)", B165&lt;45, "Adults (35–44)", B165&lt;55, "Middle-aged (45–54)")</f>
        <v>Adults (35–44)</v>
      </c>
      <c r="D165" t="s">
        <v>11</v>
      </c>
      <c r="E165" s="1">
        <v>7.7</v>
      </c>
      <c r="F165" s="1" t="str" cm="1">
        <f t="array" ref="F165">_xlfn.IFS(E165&lt;3, "Low (0–3 hrs)", E165&lt;6, "Moderate (3–6 hrs)", E165&lt;8, "High (6–8 hrs)", E165&gt;=8, "Very High (8+ hrs)")</f>
        <v>High (6–8 hrs)</v>
      </c>
      <c r="G165" s="2">
        <v>4</v>
      </c>
      <c r="H165" s="2">
        <v>7</v>
      </c>
      <c r="I165" s="2">
        <v>2</v>
      </c>
      <c r="J165" s="2">
        <v>3</v>
      </c>
      <c r="K165" s="2" t="str" cm="1">
        <f t="array" ref="K165">_xlfn.IFS(Table1[[#This Row],[Exercise_Frequency(week)]]&lt;3, "Beginners (0–2 days)", Table1[[#This Row],[Exercise_Frequency(week)]]&lt;5, "Intermediate (3–4 days)", Table1[[#This Row],[Exercise_Frequency(week)]]&lt;8, "Advanced (5–7 days)")</f>
        <v>Intermediate (3–4 days)</v>
      </c>
      <c r="L165" t="s">
        <v>12</v>
      </c>
      <c r="M165" s="2">
        <v>8</v>
      </c>
    </row>
    <row r="166" spans="1:13" x14ac:dyDescent="0.5">
      <c r="A166" t="s">
        <v>126</v>
      </c>
      <c r="B166" s="2">
        <v>45</v>
      </c>
      <c r="C166" s="2" t="str" cm="1">
        <f t="array" ref="C166">_xlfn.IFS(B166&lt;25, "Youth (16–24)", B166&lt;35, "Young Adults (25–34)", B166&lt;45, "Adults (35–44)", B166&lt;55, "Middle-aged (45–54)")</f>
        <v>Middle-aged (45–54)</v>
      </c>
      <c r="D166" t="s">
        <v>11</v>
      </c>
      <c r="E166" s="1">
        <v>6.2</v>
      </c>
      <c r="F166" s="1" t="str" cm="1">
        <f t="array" ref="F166">_xlfn.IFS(E166&lt;3, "Low (0–3 hrs)", E166&lt;6, "Moderate (3–6 hrs)", E166&lt;8, "High (6–8 hrs)", E166&gt;=8, "Very High (8+ hrs)")</f>
        <v>High (6–8 hrs)</v>
      </c>
      <c r="G166" s="2">
        <v>5</v>
      </c>
      <c r="H166" s="2">
        <v>8</v>
      </c>
      <c r="I166" s="2">
        <v>5</v>
      </c>
      <c r="J166" s="2">
        <v>3</v>
      </c>
      <c r="K166" s="2" t="str" cm="1">
        <f t="array" ref="K166">_xlfn.IFS(Table1[[#This Row],[Exercise_Frequency(week)]]&lt;3, "Beginners (0–2 days)", Table1[[#This Row],[Exercise_Frequency(week)]]&lt;5, "Intermediate (3–4 days)", Table1[[#This Row],[Exercise_Frequency(week)]]&lt;8, "Advanced (5–7 days)")</f>
        <v>Intermediate (3–4 days)</v>
      </c>
      <c r="L166" t="s">
        <v>14</v>
      </c>
      <c r="M166" s="2">
        <v>8</v>
      </c>
    </row>
    <row r="167" spans="1:13" x14ac:dyDescent="0.5">
      <c r="A167" t="s">
        <v>133</v>
      </c>
      <c r="B167" s="2">
        <v>28</v>
      </c>
      <c r="C167" s="2" t="str" cm="1">
        <f t="array" ref="C167">_xlfn.IFS(B167&lt;25, "Youth (16–24)", B167&lt;35, "Young Adults (25–34)", B167&lt;45, "Adults (35–44)", B167&lt;55, "Middle-aged (45–54)")</f>
        <v>Young Adults (25–34)</v>
      </c>
      <c r="D167" t="s">
        <v>16</v>
      </c>
      <c r="E167" s="1">
        <v>6.9</v>
      </c>
      <c r="F167" s="1" t="str" cm="1">
        <f t="array" ref="F167">_xlfn.IFS(E167&lt;3, "Low (0–3 hrs)", E167&lt;6, "Moderate (3–6 hrs)", E167&lt;8, "High (6–8 hrs)", E167&gt;=8, "Very High (8+ hrs)")</f>
        <v>High (6–8 hrs)</v>
      </c>
      <c r="G167" s="2">
        <v>5</v>
      </c>
      <c r="H167" s="2">
        <v>8</v>
      </c>
      <c r="I167" s="2">
        <v>3</v>
      </c>
      <c r="J167" s="2">
        <v>3</v>
      </c>
      <c r="K167" s="2" t="str" cm="1">
        <f t="array" ref="K167">_xlfn.IFS(Table1[[#This Row],[Exercise_Frequency(week)]]&lt;3, "Beginners (0–2 days)", Table1[[#This Row],[Exercise_Frequency(week)]]&lt;5, "Intermediate (3–4 days)", Table1[[#This Row],[Exercise_Frequency(week)]]&lt;8, "Advanced (5–7 days)")</f>
        <v>Intermediate (3–4 days)</v>
      </c>
      <c r="L167" t="s">
        <v>12</v>
      </c>
      <c r="M167" s="2">
        <v>8</v>
      </c>
    </row>
    <row r="168" spans="1:13" x14ac:dyDescent="0.5">
      <c r="A168" t="s">
        <v>139</v>
      </c>
      <c r="B168" s="2">
        <v>48</v>
      </c>
      <c r="C168" s="2" t="str" cm="1">
        <f t="array" ref="C168">_xlfn.IFS(B168&lt;25, "Youth (16–24)", B168&lt;35, "Young Adults (25–34)", B168&lt;45, "Adults (35–44)", B168&lt;55, "Middle-aged (45–54)")</f>
        <v>Middle-aged (45–54)</v>
      </c>
      <c r="D168" t="s">
        <v>11</v>
      </c>
      <c r="E168" s="1">
        <v>6.5</v>
      </c>
      <c r="F168" s="1" t="str" cm="1">
        <f t="array" ref="F168">_xlfn.IFS(E168&lt;3, "Low (0–3 hrs)", E168&lt;6, "Moderate (3–6 hrs)", E168&lt;8, "High (6–8 hrs)", E168&gt;=8, "Very High (8+ hrs)")</f>
        <v>High (6–8 hrs)</v>
      </c>
      <c r="G168" s="2">
        <v>6</v>
      </c>
      <c r="H168" s="2">
        <v>8</v>
      </c>
      <c r="I168" s="2">
        <v>3</v>
      </c>
      <c r="J168" s="2">
        <v>3</v>
      </c>
      <c r="K168" s="2" t="str" cm="1">
        <f t="array" ref="K168">_xlfn.IFS(Table1[[#This Row],[Exercise_Frequency(week)]]&lt;3, "Beginners (0–2 days)", Table1[[#This Row],[Exercise_Frequency(week)]]&lt;5, "Intermediate (3–4 days)", Table1[[#This Row],[Exercise_Frequency(week)]]&lt;8, "Advanced (5–7 days)")</f>
        <v>Intermediate (3–4 days)</v>
      </c>
      <c r="L168" t="s">
        <v>17</v>
      </c>
      <c r="M168" s="2">
        <v>8</v>
      </c>
    </row>
    <row r="169" spans="1:13" x14ac:dyDescent="0.5">
      <c r="A169" t="s">
        <v>164</v>
      </c>
      <c r="B169" s="2">
        <v>32</v>
      </c>
      <c r="C169" s="2" t="str" cm="1">
        <f t="array" ref="C169">_xlfn.IFS(B169&lt;25, "Youth (16–24)", B169&lt;35, "Young Adults (25–34)", B169&lt;45, "Adults (35–44)", B169&lt;55, "Middle-aged (45–54)")</f>
        <v>Young Adults (25–34)</v>
      </c>
      <c r="D169" t="s">
        <v>11</v>
      </c>
      <c r="E169" s="1">
        <v>7.3</v>
      </c>
      <c r="F169" s="1" t="str" cm="1">
        <f t="array" ref="F169">_xlfn.IFS(E169&lt;3, "Low (0–3 hrs)", E169&lt;6, "Moderate (3–6 hrs)", E169&lt;8, "High (6–8 hrs)", E169&gt;=8, "Very High (8+ hrs)")</f>
        <v>High (6–8 hrs)</v>
      </c>
      <c r="G169" s="2">
        <v>5</v>
      </c>
      <c r="H169" s="2">
        <v>7</v>
      </c>
      <c r="I169" s="2">
        <v>1</v>
      </c>
      <c r="J169" s="2">
        <v>3</v>
      </c>
      <c r="K169" s="2" t="str" cm="1">
        <f t="array" ref="K169">_xlfn.IFS(Table1[[#This Row],[Exercise_Frequency(week)]]&lt;3, "Beginners (0–2 days)", Table1[[#This Row],[Exercise_Frequency(week)]]&lt;5, "Intermediate (3–4 days)", Table1[[#This Row],[Exercise_Frequency(week)]]&lt;8, "Advanced (5–7 days)")</f>
        <v>Intermediate (3–4 days)</v>
      </c>
      <c r="L169" t="s">
        <v>14</v>
      </c>
      <c r="M169" s="2">
        <v>8</v>
      </c>
    </row>
    <row r="170" spans="1:13" x14ac:dyDescent="0.5">
      <c r="A170" t="s">
        <v>167</v>
      </c>
      <c r="B170" s="2">
        <v>49</v>
      </c>
      <c r="C170" s="2" t="str" cm="1">
        <f t="array" ref="C170">_xlfn.IFS(B170&lt;25, "Youth (16–24)", B170&lt;35, "Young Adults (25–34)", B170&lt;45, "Adults (35–44)", B170&lt;55, "Middle-aged (45–54)")</f>
        <v>Middle-aged (45–54)</v>
      </c>
      <c r="D170" t="s">
        <v>11</v>
      </c>
      <c r="E170" s="1">
        <v>5.0999999999999996</v>
      </c>
      <c r="F170" s="1" t="str" cm="1">
        <f t="array" ref="F170">_xlfn.IFS(E170&lt;3, "Low (0–3 hrs)", E170&lt;6, "Moderate (3–6 hrs)", E170&lt;8, "High (6–8 hrs)", E170&gt;=8, "Very High (8+ hrs)")</f>
        <v>Moderate (3–6 hrs)</v>
      </c>
      <c r="G170" s="2">
        <v>5</v>
      </c>
      <c r="H170" s="2">
        <v>7</v>
      </c>
      <c r="I170" s="2">
        <v>6</v>
      </c>
      <c r="J170" s="2">
        <v>3</v>
      </c>
      <c r="K170" s="2" t="str" cm="1">
        <f t="array" ref="K170">_xlfn.IFS(Table1[[#This Row],[Exercise_Frequency(week)]]&lt;3, "Beginners (0–2 days)", Table1[[#This Row],[Exercise_Frequency(week)]]&lt;5, "Intermediate (3–4 days)", Table1[[#This Row],[Exercise_Frequency(week)]]&lt;8, "Advanced (5–7 days)")</f>
        <v>Intermediate (3–4 days)</v>
      </c>
      <c r="L170" t="s">
        <v>14</v>
      </c>
      <c r="M170" s="2">
        <v>8</v>
      </c>
    </row>
    <row r="171" spans="1:13" x14ac:dyDescent="0.5">
      <c r="A171" t="s">
        <v>171</v>
      </c>
      <c r="B171" s="2">
        <v>48</v>
      </c>
      <c r="C171" s="2" t="str" cm="1">
        <f t="array" ref="C171">_xlfn.IFS(B171&lt;25, "Youth (16–24)", B171&lt;35, "Young Adults (25–34)", B171&lt;45, "Adults (35–44)", B171&lt;55, "Middle-aged (45–54)")</f>
        <v>Middle-aged (45–54)</v>
      </c>
      <c r="D171" t="s">
        <v>16</v>
      </c>
      <c r="E171" s="1">
        <v>8.5</v>
      </c>
      <c r="F171" s="1" t="str" cm="1">
        <f t="array" ref="F171">_xlfn.IFS(E171&lt;3, "Low (0–3 hrs)", E171&lt;6, "Moderate (3–6 hrs)", E171&lt;8, "High (6–8 hrs)", E171&gt;=8, "Very High (8+ hrs)")</f>
        <v>Very High (8+ hrs)</v>
      </c>
      <c r="G171" s="2">
        <v>4</v>
      </c>
      <c r="H171" s="2">
        <v>10</v>
      </c>
      <c r="I171" s="2">
        <v>3</v>
      </c>
      <c r="J171" s="2">
        <v>3</v>
      </c>
      <c r="K171" s="2" t="str" cm="1">
        <f t="array" ref="K171">_xlfn.IFS(Table1[[#This Row],[Exercise_Frequency(week)]]&lt;3, "Beginners (0–2 days)", Table1[[#This Row],[Exercise_Frequency(week)]]&lt;5, "Intermediate (3–4 days)", Table1[[#This Row],[Exercise_Frequency(week)]]&lt;8, "Advanced (5–7 days)")</f>
        <v>Intermediate (3–4 days)</v>
      </c>
      <c r="L171" t="s">
        <v>13</v>
      </c>
      <c r="M171" s="2">
        <v>8</v>
      </c>
    </row>
    <row r="172" spans="1:13" x14ac:dyDescent="0.5">
      <c r="A172" t="s">
        <v>178</v>
      </c>
      <c r="B172" s="2">
        <v>34</v>
      </c>
      <c r="C172" s="2" t="str" cm="1">
        <f t="array" ref="C172">_xlfn.IFS(B172&lt;25, "Youth (16–24)", B172&lt;35, "Young Adults (25–34)", B172&lt;45, "Adults (35–44)", B172&lt;55, "Middle-aged (45–54)")</f>
        <v>Young Adults (25–34)</v>
      </c>
      <c r="D172" t="s">
        <v>11</v>
      </c>
      <c r="E172" s="1">
        <v>7.2</v>
      </c>
      <c r="F172" s="1" t="str" cm="1">
        <f t="array" ref="F172">_xlfn.IFS(E172&lt;3, "Low (0–3 hrs)", E172&lt;6, "Moderate (3–6 hrs)", E172&lt;8, "High (6–8 hrs)", E172&gt;=8, "Very High (8+ hrs)")</f>
        <v>High (6–8 hrs)</v>
      </c>
      <c r="G172" s="2">
        <v>6</v>
      </c>
      <c r="H172" s="2">
        <v>6</v>
      </c>
      <c r="I172" s="2">
        <v>3</v>
      </c>
      <c r="J172" s="2">
        <v>3</v>
      </c>
      <c r="K172" s="2" t="str" cm="1">
        <f t="array" ref="K172">_xlfn.IFS(Table1[[#This Row],[Exercise_Frequency(week)]]&lt;3, "Beginners (0–2 days)", Table1[[#This Row],[Exercise_Frequency(week)]]&lt;5, "Intermediate (3–4 days)", Table1[[#This Row],[Exercise_Frequency(week)]]&lt;8, "Advanced (5–7 days)")</f>
        <v>Intermediate (3–4 days)</v>
      </c>
      <c r="L172" t="s">
        <v>19</v>
      </c>
      <c r="M172" s="2">
        <v>8</v>
      </c>
    </row>
    <row r="173" spans="1:13" x14ac:dyDescent="0.5">
      <c r="A173" t="s">
        <v>196</v>
      </c>
      <c r="B173" s="2">
        <v>16</v>
      </c>
      <c r="C173" s="2" t="str" cm="1">
        <f t="array" ref="C173">_xlfn.IFS(B173&lt;25, "Youth (16–24)", B173&lt;35, "Young Adults (25–34)", B173&lt;45, "Adults (35–44)", B173&lt;55, "Middle-aged (45–54)")</f>
        <v>Youth (16–24)</v>
      </c>
      <c r="D173" t="s">
        <v>11</v>
      </c>
      <c r="E173" s="1">
        <v>4.2</v>
      </c>
      <c r="F173" s="1" t="str" cm="1">
        <f t="array" ref="F173">_xlfn.IFS(E173&lt;3, "Low (0–3 hrs)", E173&lt;6, "Moderate (3–6 hrs)", E173&lt;8, "High (6–8 hrs)", E173&gt;=8, "Very High (8+ hrs)")</f>
        <v>Moderate (3–6 hrs)</v>
      </c>
      <c r="G173" s="2">
        <v>7</v>
      </c>
      <c r="H173" s="2">
        <v>7</v>
      </c>
      <c r="I173" s="2">
        <v>5</v>
      </c>
      <c r="J173" s="2">
        <v>3</v>
      </c>
      <c r="K173" s="2" t="str" cm="1">
        <f t="array" ref="K173">_xlfn.IFS(Table1[[#This Row],[Exercise_Frequency(week)]]&lt;3, "Beginners (0–2 days)", Table1[[#This Row],[Exercise_Frequency(week)]]&lt;5, "Intermediate (3–4 days)", Table1[[#This Row],[Exercise_Frequency(week)]]&lt;8, "Advanced (5–7 days)")</f>
        <v>Intermediate (3–4 days)</v>
      </c>
      <c r="L173" t="s">
        <v>17</v>
      </c>
      <c r="M173" s="2">
        <v>8</v>
      </c>
    </row>
    <row r="174" spans="1:13" x14ac:dyDescent="0.5">
      <c r="A174" t="s">
        <v>234</v>
      </c>
      <c r="B174" s="2">
        <v>49</v>
      </c>
      <c r="C174" s="2" t="str" cm="1">
        <f t="array" ref="C174">_xlfn.IFS(B174&lt;25, "Youth (16–24)", B174&lt;35, "Young Adults (25–34)", B174&lt;45, "Adults (35–44)", B174&lt;55, "Middle-aged (45–54)")</f>
        <v>Middle-aged (45–54)</v>
      </c>
      <c r="D174" t="s">
        <v>11</v>
      </c>
      <c r="E174" s="1">
        <v>6.2</v>
      </c>
      <c r="F174" s="1" t="str" cm="1">
        <f t="array" ref="F174">_xlfn.IFS(E174&lt;3, "Low (0–3 hrs)", E174&lt;6, "Moderate (3–6 hrs)", E174&lt;8, "High (6–8 hrs)", E174&gt;=8, "Very High (8+ hrs)")</f>
        <v>High (6–8 hrs)</v>
      </c>
      <c r="G174" s="2">
        <v>6</v>
      </c>
      <c r="H174" s="2">
        <v>8</v>
      </c>
      <c r="I174" s="2">
        <v>1</v>
      </c>
      <c r="J174" s="2">
        <v>3</v>
      </c>
      <c r="K174" s="2" t="str" cm="1">
        <f t="array" ref="K174">_xlfn.IFS(Table1[[#This Row],[Exercise_Frequency(week)]]&lt;3, "Beginners (0–2 days)", Table1[[#This Row],[Exercise_Frequency(week)]]&lt;5, "Intermediate (3–4 days)", Table1[[#This Row],[Exercise_Frequency(week)]]&lt;8, "Advanced (5–7 days)")</f>
        <v>Intermediate (3–4 days)</v>
      </c>
      <c r="L174" t="s">
        <v>13</v>
      </c>
      <c r="M174" s="2">
        <v>8</v>
      </c>
    </row>
    <row r="175" spans="1:13" x14ac:dyDescent="0.5">
      <c r="A175" t="s">
        <v>242</v>
      </c>
      <c r="B175" s="2">
        <v>19</v>
      </c>
      <c r="C175" s="2" t="str" cm="1">
        <f t="array" ref="C175">_xlfn.IFS(B175&lt;25, "Youth (16–24)", B175&lt;35, "Young Adults (25–34)", B175&lt;45, "Adults (35–44)", B175&lt;55, "Middle-aged (45–54)")</f>
        <v>Youth (16–24)</v>
      </c>
      <c r="D175" t="s">
        <v>16</v>
      </c>
      <c r="E175" s="1">
        <v>6.2</v>
      </c>
      <c r="F175" s="1" t="str" cm="1">
        <f t="array" ref="F175">_xlfn.IFS(E175&lt;3, "Low (0–3 hrs)", E175&lt;6, "Moderate (3–6 hrs)", E175&lt;8, "High (6–8 hrs)", E175&gt;=8, "Very High (8+ hrs)")</f>
        <v>High (6–8 hrs)</v>
      </c>
      <c r="G175" s="2">
        <v>5</v>
      </c>
      <c r="H175" s="2">
        <v>7</v>
      </c>
      <c r="I175" s="2">
        <v>1</v>
      </c>
      <c r="J175" s="2">
        <v>3</v>
      </c>
      <c r="K175" s="2" t="str" cm="1">
        <f t="array" ref="K175">_xlfn.IFS(Table1[[#This Row],[Exercise_Frequency(week)]]&lt;3, "Beginners (0–2 days)", Table1[[#This Row],[Exercise_Frequency(week)]]&lt;5, "Intermediate (3–4 days)", Table1[[#This Row],[Exercise_Frequency(week)]]&lt;8, "Advanced (5–7 days)")</f>
        <v>Intermediate (3–4 days)</v>
      </c>
      <c r="L175" t="s">
        <v>14</v>
      </c>
      <c r="M175" s="2">
        <v>8</v>
      </c>
    </row>
    <row r="176" spans="1:13" x14ac:dyDescent="0.5">
      <c r="A176" t="s">
        <v>251</v>
      </c>
      <c r="B176" s="2">
        <v>48</v>
      </c>
      <c r="C176" s="2" t="str" cm="1">
        <f t="array" ref="C176">_xlfn.IFS(B176&lt;25, "Youth (16–24)", B176&lt;35, "Young Adults (25–34)", B176&lt;45, "Adults (35–44)", B176&lt;55, "Middle-aged (45–54)")</f>
        <v>Middle-aged (45–54)</v>
      </c>
      <c r="D176" t="s">
        <v>11</v>
      </c>
      <c r="E176" s="1">
        <v>5.3</v>
      </c>
      <c r="F176" s="1" t="str" cm="1">
        <f t="array" ref="F176">_xlfn.IFS(E176&lt;3, "Low (0–3 hrs)", E176&lt;6, "Moderate (3–6 hrs)", E176&lt;8, "High (6–8 hrs)", E176&gt;=8, "Very High (8+ hrs)")</f>
        <v>Moderate (3–6 hrs)</v>
      </c>
      <c r="G176" s="2">
        <v>5</v>
      </c>
      <c r="H176" s="2">
        <v>5</v>
      </c>
      <c r="I176" s="2">
        <v>2</v>
      </c>
      <c r="J176" s="2">
        <v>3</v>
      </c>
      <c r="K176" s="2" t="str" cm="1">
        <f t="array" ref="K176">_xlfn.IFS(Table1[[#This Row],[Exercise_Frequency(week)]]&lt;3, "Beginners (0–2 days)", Table1[[#This Row],[Exercise_Frequency(week)]]&lt;5, "Intermediate (3–4 days)", Table1[[#This Row],[Exercise_Frequency(week)]]&lt;8, "Advanced (5–7 days)")</f>
        <v>Intermediate (3–4 days)</v>
      </c>
      <c r="L176" t="s">
        <v>13</v>
      </c>
      <c r="M176" s="2">
        <v>8</v>
      </c>
    </row>
    <row r="177" spans="1:13" x14ac:dyDescent="0.5">
      <c r="A177" t="s">
        <v>272</v>
      </c>
      <c r="B177" s="2">
        <v>44</v>
      </c>
      <c r="C177" s="2" t="str" cm="1">
        <f t="array" ref="C177">_xlfn.IFS(B177&lt;25, "Youth (16–24)", B177&lt;35, "Young Adults (25–34)", B177&lt;45, "Adults (35–44)", B177&lt;55, "Middle-aged (45–54)")</f>
        <v>Adults (35–44)</v>
      </c>
      <c r="D177" t="s">
        <v>16</v>
      </c>
      <c r="E177" s="1">
        <v>6.5</v>
      </c>
      <c r="F177" s="1" t="str" cm="1">
        <f t="array" ref="F177">_xlfn.IFS(E177&lt;3, "Low (0–3 hrs)", E177&lt;6, "Moderate (3–6 hrs)", E177&lt;8, "High (6–8 hrs)", E177&gt;=8, "Very High (8+ hrs)")</f>
        <v>High (6–8 hrs)</v>
      </c>
      <c r="G177" s="2">
        <v>5</v>
      </c>
      <c r="H177" s="2">
        <v>6</v>
      </c>
      <c r="I177" s="2">
        <v>2</v>
      </c>
      <c r="J177" s="2">
        <v>3</v>
      </c>
      <c r="K177" s="2" t="str" cm="1">
        <f t="array" ref="K177">_xlfn.IFS(Table1[[#This Row],[Exercise_Frequency(week)]]&lt;3, "Beginners (0–2 days)", Table1[[#This Row],[Exercise_Frequency(week)]]&lt;5, "Intermediate (3–4 days)", Table1[[#This Row],[Exercise_Frequency(week)]]&lt;8, "Advanced (5–7 days)")</f>
        <v>Intermediate (3–4 days)</v>
      </c>
      <c r="L177" t="s">
        <v>23</v>
      </c>
      <c r="M177" s="2">
        <v>8</v>
      </c>
    </row>
    <row r="178" spans="1:13" x14ac:dyDescent="0.5">
      <c r="A178" t="s">
        <v>336</v>
      </c>
      <c r="B178" s="2">
        <v>31</v>
      </c>
      <c r="C178" s="2" t="str" cm="1">
        <f t="array" ref="C178">_xlfn.IFS(B178&lt;25, "Youth (16–24)", B178&lt;35, "Young Adults (25–34)", B178&lt;45, "Adults (35–44)", B178&lt;55, "Middle-aged (45–54)")</f>
        <v>Young Adults (25–34)</v>
      </c>
      <c r="D178" t="s">
        <v>11</v>
      </c>
      <c r="E178" s="1">
        <v>5.4</v>
      </c>
      <c r="F178" s="1" t="str" cm="1">
        <f t="array" ref="F178">_xlfn.IFS(E178&lt;3, "Low (0–3 hrs)", E178&lt;6, "Moderate (3–6 hrs)", E178&lt;8, "High (6–8 hrs)", E178&gt;=8, "Very High (8+ hrs)")</f>
        <v>Moderate (3–6 hrs)</v>
      </c>
      <c r="G178" s="2">
        <v>6</v>
      </c>
      <c r="H178" s="2">
        <v>7</v>
      </c>
      <c r="I178" s="2">
        <v>5</v>
      </c>
      <c r="J178" s="2">
        <v>3</v>
      </c>
      <c r="K178" s="2" t="str" cm="1">
        <f t="array" ref="K178">_xlfn.IFS(Table1[[#This Row],[Exercise_Frequency(week)]]&lt;3, "Beginners (0–2 days)", Table1[[#This Row],[Exercise_Frequency(week)]]&lt;5, "Intermediate (3–4 days)", Table1[[#This Row],[Exercise_Frequency(week)]]&lt;8, "Advanced (5–7 days)")</f>
        <v>Intermediate (3–4 days)</v>
      </c>
      <c r="L178" t="s">
        <v>12</v>
      </c>
      <c r="M178" s="2">
        <v>8</v>
      </c>
    </row>
    <row r="179" spans="1:13" x14ac:dyDescent="0.5">
      <c r="A179" t="s">
        <v>346</v>
      </c>
      <c r="B179" s="2">
        <v>25</v>
      </c>
      <c r="C179" s="2" t="str" cm="1">
        <f t="array" ref="C179">_xlfn.IFS(B179&lt;25, "Youth (16–24)", B179&lt;35, "Young Adults (25–34)", B179&lt;45, "Adults (35–44)", B179&lt;55, "Middle-aged (45–54)")</f>
        <v>Young Adults (25–34)</v>
      </c>
      <c r="D179" t="s">
        <v>11</v>
      </c>
      <c r="E179" s="1">
        <v>8.4</v>
      </c>
      <c r="F179" s="1" t="str" cm="1">
        <f t="array" ref="F179">_xlfn.IFS(E179&lt;3, "Low (0–3 hrs)", E179&lt;6, "Moderate (3–6 hrs)", E179&lt;8, "High (6–8 hrs)", E179&gt;=8, "Very High (8+ hrs)")</f>
        <v>Very High (8+ hrs)</v>
      </c>
      <c r="G179" s="2">
        <v>5</v>
      </c>
      <c r="H179" s="2">
        <v>8</v>
      </c>
      <c r="I179" s="2">
        <v>2</v>
      </c>
      <c r="J179" s="2">
        <v>3</v>
      </c>
      <c r="K179" s="2" t="str" cm="1">
        <f t="array" ref="K179">_xlfn.IFS(Table1[[#This Row],[Exercise_Frequency(week)]]&lt;3, "Beginners (0–2 days)", Table1[[#This Row],[Exercise_Frequency(week)]]&lt;5, "Intermediate (3–4 days)", Table1[[#This Row],[Exercise_Frequency(week)]]&lt;8, "Advanced (5–7 days)")</f>
        <v>Intermediate (3–4 days)</v>
      </c>
      <c r="L179" t="s">
        <v>17</v>
      </c>
      <c r="M179" s="2">
        <v>8</v>
      </c>
    </row>
    <row r="180" spans="1:13" x14ac:dyDescent="0.5">
      <c r="A180" t="s">
        <v>387</v>
      </c>
      <c r="B180" s="2">
        <v>25</v>
      </c>
      <c r="C180" s="2" t="str" cm="1">
        <f t="array" ref="C180">_xlfn.IFS(B180&lt;25, "Youth (16–24)", B180&lt;35, "Young Adults (25–34)", B180&lt;45, "Adults (35–44)", B180&lt;55, "Middle-aged (45–54)")</f>
        <v>Young Adults (25–34)</v>
      </c>
      <c r="D180" t="s">
        <v>11</v>
      </c>
      <c r="E180" s="1">
        <v>6.7</v>
      </c>
      <c r="F180" s="1" t="str" cm="1">
        <f t="array" ref="F180">_xlfn.IFS(E180&lt;3, "Low (0–3 hrs)", E180&lt;6, "Moderate (3–6 hrs)", E180&lt;8, "High (6–8 hrs)", E180&gt;=8, "Very High (8+ hrs)")</f>
        <v>High (6–8 hrs)</v>
      </c>
      <c r="G180" s="2">
        <v>7</v>
      </c>
      <c r="H180" s="2">
        <v>7</v>
      </c>
      <c r="I180" s="2">
        <v>5</v>
      </c>
      <c r="J180" s="2">
        <v>3</v>
      </c>
      <c r="K180" s="2" t="str" cm="1">
        <f t="array" ref="K180">_xlfn.IFS(Table1[[#This Row],[Exercise_Frequency(week)]]&lt;3, "Beginners (0–2 days)", Table1[[#This Row],[Exercise_Frequency(week)]]&lt;5, "Intermediate (3–4 days)", Table1[[#This Row],[Exercise_Frequency(week)]]&lt;8, "Advanced (5–7 days)")</f>
        <v>Intermediate (3–4 days)</v>
      </c>
      <c r="L180" t="s">
        <v>13</v>
      </c>
      <c r="M180" s="2">
        <v>8</v>
      </c>
    </row>
    <row r="181" spans="1:13" x14ac:dyDescent="0.5">
      <c r="A181" t="s">
        <v>393</v>
      </c>
      <c r="B181" s="2">
        <v>38</v>
      </c>
      <c r="C181" s="2" t="str" cm="1">
        <f t="array" ref="C181">_xlfn.IFS(B181&lt;25, "Youth (16–24)", B181&lt;35, "Young Adults (25–34)", B181&lt;45, "Adults (35–44)", B181&lt;55, "Middle-aged (45–54)")</f>
        <v>Adults (35–44)</v>
      </c>
      <c r="D181" t="s">
        <v>11</v>
      </c>
      <c r="E181" s="1">
        <v>5.4</v>
      </c>
      <c r="F181" s="1" t="str" cm="1">
        <f t="array" ref="F181">_xlfn.IFS(E181&lt;3, "Low (0–3 hrs)", E181&lt;6, "Moderate (3–6 hrs)", E181&lt;8, "High (6–8 hrs)", E181&gt;=8, "Very High (8+ hrs)")</f>
        <v>Moderate (3–6 hrs)</v>
      </c>
      <c r="G181" s="2">
        <v>8</v>
      </c>
      <c r="H181" s="2">
        <v>9</v>
      </c>
      <c r="I181" s="2">
        <v>5</v>
      </c>
      <c r="J181" s="2">
        <v>3</v>
      </c>
      <c r="K181" s="2" t="str" cm="1">
        <f t="array" ref="K181">_xlfn.IFS(Table1[[#This Row],[Exercise_Frequency(week)]]&lt;3, "Beginners (0–2 days)", Table1[[#This Row],[Exercise_Frequency(week)]]&lt;5, "Intermediate (3–4 days)", Table1[[#This Row],[Exercise_Frequency(week)]]&lt;8, "Advanced (5–7 days)")</f>
        <v>Intermediate (3–4 days)</v>
      </c>
      <c r="L181" t="s">
        <v>19</v>
      </c>
      <c r="M181" s="2">
        <v>8</v>
      </c>
    </row>
    <row r="182" spans="1:13" x14ac:dyDescent="0.5">
      <c r="A182" t="s">
        <v>424</v>
      </c>
      <c r="B182" s="2">
        <v>38</v>
      </c>
      <c r="C182" s="2" t="str" cm="1">
        <f t="array" ref="C182">_xlfn.IFS(B182&lt;25, "Youth (16–24)", B182&lt;35, "Young Adults (25–34)", B182&lt;45, "Adults (35–44)", B182&lt;55, "Middle-aged (45–54)")</f>
        <v>Adults (35–44)</v>
      </c>
      <c r="D182" t="s">
        <v>11</v>
      </c>
      <c r="E182" s="1">
        <v>7.6</v>
      </c>
      <c r="F182" s="1" t="str" cm="1">
        <f t="array" ref="F182">_xlfn.IFS(E182&lt;3, "Low (0–3 hrs)", E182&lt;6, "Moderate (3–6 hrs)", E182&lt;8, "High (6–8 hrs)", E182&gt;=8, "Very High (8+ hrs)")</f>
        <v>High (6–8 hrs)</v>
      </c>
      <c r="G182" s="2">
        <v>6</v>
      </c>
      <c r="H182" s="2">
        <v>9</v>
      </c>
      <c r="I182" s="2">
        <v>4</v>
      </c>
      <c r="J182" s="2">
        <v>3</v>
      </c>
      <c r="K182" s="2" t="str" cm="1">
        <f t="array" ref="K182">_xlfn.IFS(Table1[[#This Row],[Exercise_Frequency(week)]]&lt;3, "Beginners (0–2 days)", Table1[[#This Row],[Exercise_Frequency(week)]]&lt;5, "Intermediate (3–4 days)", Table1[[#This Row],[Exercise_Frequency(week)]]&lt;8, "Advanced (5–7 days)")</f>
        <v>Intermediate (3–4 days)</v>
      </c>
      <c r="L182" t="s">
        <v>19</v>
      </c>
      <c r="M182" s="2">
        <v>8</v>
      </c>
    </row>
    <row r="183" spans="1:13" x14ac:dyDescent="0.5">
      <c r="A183" t="s">
        <v>443</v>
      </c>
      <c r="B183" s="2">
        <v>22</v>
      </c>
      <c r="C183" s="2" t="str" cm="1">
        <f t="array" ref="C183">_xlfn.IFS(B183&lt;25, "Youth (16–24)", B183&lt;35, "Young Adults (25–34)", B183&lt;45, "Adults (35–44)", B183&lt;55, "Middle-aged (45–54)")</f>
        <v>Youth (16–24)</v>
      </c>
      <c r="D183" t="s">
        <v>11</v>
      </c>
      <c r="E183" s="1">
        <v>2.7</v>
      </c>
      <c r="F183" s="1" t="str" cm="1">
        <f t="array" ref="F183">_xlfn.IFS(E183&lt;3, "Low (0–3 hrs)", E183&lt;6, "Moderate (3–6 hrs)", E183&lt;8, "High (6–8 hrs)", E183&gt;=8, "Very High (8+ hrs)")</f>
        <v>Low (0–3 hrs)</v>
      </c>
      <c r="G183" s="2">
        <v>6</v>
      </c>
      <c r="H183" s="2">
        <v>6</v>
      </c>
      <c r="I183" s="2">
        <v>1</v>
      </c>
      <c r="J183" s="2">
        <v>3</v>
      </c>
      <c r="K183" s="2" t="str" cm="1">
        <f t="array" ref="K183">_xlfn.IFS(Table1[[#This Row],[Exercise_Frequency(week)]]&lt;3, "Beginners (0–2 days)", Table1[[#This Row],[Exercise_Frequency(week)]]&lt;5, "Intermediate (3–4 days)", Table1[[#This Row],[Exercise_Frequency(week)]]&lt;8, "Advanced (5–7 days)")</f>
        <v>Intermediate (3–4 days)</v>
      </c>
      <c r="L183" t="s">
        <v>13</v>
      </c>
      <c r="M183" s="2">
        <v>8</v>
      </c>
    </row>
    <row r="184" spans="1:13" x14ac:dyDescent="0.5">
      <c r="A184" t="s">
        <v>444</v>
      </c>
      <c r="B184" s="2">
        <v>40</v>
      </c>
      <c r="C184" s="2" t="str" cm="1">
        <f t="array" ref="C184">_xlfn.IFS(B184&lt;25, "Youth (16–24)", B184&lt;35, "Young Adults (25–34)", B184&lt;45, "Adults (35–44)", B184&lt;55, "Middle-aged (45–54)")</f>
        <v>Adults (35–44)</v>
      </c>
      <c r="D184" t="s">
        <v>11</v>
      </c>
      <c r="E184" s="1">
        <v>6</v>
      </c>
      <c r="F184" s="1" t="str" cm="1">
        <f t="array" ref="F184">_xlfn.IFS(E184&lt;3, "Low (0–3 hrs)", E184&lt;6, "Moderate (3–6 hrs)", E184&lt;8, "High (6–8 hrs)", E184&gt;=8, "Very High (8+ hrs)")</f>
        <v>High (6–8 hrs)</v>
      </c>
      <c r="G184" s="2">
        <v>4</v>
      </c>
      <c r="H184" s="2">
        <v>6</v>
      </c>
      <c r="I184" s="2">
        <v>9</v>
      </c>
      <c r="J184" s="2">
        <v>3</v>
      </c>
      <c r="K184" s="2" t="str" cm="1">
        <f t="array" ref="K184">_xlfn.IFS(Table1[[#This Row],[Exercise_Frequency(week)]]&lt;3, "Beginners (0–2 days)", Table1[[#This Row],[Exercise_Frequency(week)]]&lt;5, "Intermediate (3–4 days)", Table1[[#This Row],[Exercise_Frequency(week)]]&lt;8, "Advanced (5–7 days)")</f>
        <v>Intermediate (3–4 days)</v>
      </c>
      <c r="L184" t="s">
        <v>13</v>
      </c>
      <c r="M184" s="2">
        <v>8</v>
      </c>
    </row>
    <row r="185" spans="1:13" x14ac:dyDescent="0.5">
      <c r="A185" t="s">
        <v>464</v>
      </c>
      <c r="B185" s="2">
        <v>48</v>
      </c>
      <c r="C185" s="2" t="str" cm="1">
        <f t="array" ref="C185">_xlfn.IFS(B185&lt;25, "Youth (16–24)", B185&lt;35, "Young Adults (25–34)", B185&lt;45, "Adults (35–44)", B185&lt;55, "Middle-aged (45–54)")</f>
        <v>Middle-aged (45–54)</v>
      </c>
      <c r="D185" t="s">
        <v>16</v>
      </c>
      <c r="E185" s="1">
        <v>5.6</v>
      </c>
      <c r="F185" s="1" t="str" cm="1">
        <f t="array" ref="F185">_xlfn.IFS(E185&lt;3, "Low (0–3 hrs)", E185&lt;6, "Moderate (3–6 hrs)", E185&lt;8, "High (6–8 hrs)", E185&gt;=8, "Very High (8+ hrs)")</f>
        <v>Moderate (3–6 hrs)</v>
      </c>
      <c r="G185" s="2">
        <v>6</v>
      </c>
      <c r="H185" s="2">
        <v>6</v>
      </c>
      <c r="I185" s="2">
        <v>5</v>
      </c>
      <c r="J185" s="2">
        <v>3</v>
      </c>
      <c r="K185" s="2" t="str" cm="1">
        <f t="array" ref="K185">_xlfn.IFS(Table1[[#This Row],[Exercise_Frequency(week)]]&lt;3, "Beginners (0–2 days)", Table1[[#This Row],[Exercise_Frequency(week)]]&lt;5, "Intermediate (3–4 days)", Table1[[#This Row],[Exercise_Frequency(week)]]&lt;8, "Advanced (5–7 days)")</f>
        <v>Intermediate (3–4 days)</v>
      </c>
      <c r="L185" t="s">
        <v>17</v>
      </c>
      <c r="M185" s="2">
        <v>8</v>
      </c>
    </row>
    <row r="186" spans="1:13" x14ac:dyDescent="0.5">
      <c r="A186" t="s">
        <v>83</v>
      </c>
      <c r="B186" s="2">
        <v>32</v>
      </c>
      <c r="C186" s="2" t="str" cm="1">
        <f t="array" ref="C186">_xlfn.IFS(B186&lt;25, "Youth (16–24)", B186&lt;35, "Young Adults (25–34)", B186&lt;45, "Adults (35–44)", B186&lt;55, "Middle-aged (45–54)")</f>
        <v>Young Adults (25–34)</v>
      </c>
      <c r="D186" t="s">
        <v>16</v>
      </c>
      <c r="E186" s="1">
        <v>4.2</v>
      </c>
      <c r="F186" s="1" t="str" cm="1">
        <f t="array" ref="F186">_xlfn.IFS(E186&lt;3, "Low (0–3 hrs)", E186&lt;6, "Moderate (3–6 hrs)", E186&lt;8, "High (6–8 hrs)", E186&gt;=8, "Very High (8+ hrs)")</f>
        <v>Moderate (3–6 hrs)</v>
      </c>
      <c r="G186" s="2">
        <v>8</v>
      </c>
      <c r="H186" s="2">
        <v>8</v>
      </c>
      <c r="I186" s="2">
        <v>5</v>
      </c>
      <c r="J186" s="2">
        <v>2</v>
      </c>
      <c r="K186" s="2" t="str" cm="1">
        <f t="array" ref="K186">_xlfn.IFS(Table1[[#This Row],[Exercise_Frequency(week)]]&lt;3, "Beginners (0–2 days)", Table1[[#This Row],[Exercise_Frequency(week)]]&lt;5, "Intermediate (3–4 days)", Table1[[#This Row],[Exercise_Frequency(week)]]&lt;8, "Advanced (5–7 days)")</f>
        <v>Beginners (0–2 days)</v>
      </c>
      <c r="L186" t="s">
        <v>13</v>
      </c>
      <c r="M186" s="2">
        <v>8</v>
      </c>
    </row>
    <row r="187" spans="1:13" x14ac:dyDescent="0.5">
      <c r="A187" t="s">
        <v>88</v>
      </c>
      <c r="B187" s="2">
        <v>24</v>
      </c>
      <c r="C187" s="2" t="str" cm="1">
        <f t="array" ref="C187">_xlfn.IFS(B187&lt;25, "Youth (16–24)", B187&lt;35, "Young Adults (25–34)", B187&lt;45, "Adults (35–44)", B187&lt;55, "Middle-aged (45–54)")</f>
        <v>Youth (16–24)</v>
      </c>
      <c r="D187" t="s">
        <v>16</v>
      </c>
      <c r="E187" s="1">
        <v>4.8</v>
      </c>
      <c r="F187" s="1" t="str" cm="1">
        <f t="array" ref="F187">_xlfn.IFS(E187&lt;3, "Low (0–3 hrs)", E187&lt;6, "Moderate (3–6 hrs)", E187&lt;8, "High (6–8 hrs)", E187&gt;=8, "Very High (8+ hrs)")</f>
        <v>Moderate (3–6 hrs)</v>
      </c>
      <c r="G187" s="2">
        <v>6</v>
      </c>
      <c r="H187" s="2">
        <v>7</v>
      </c>
      <c r="I187" s="2">
        <v>2</v>
      </c>
      <c r="J187" s="2">
        <v>2</v>
      </c>
      <c r="K187" s="2" t="str" cm="1">
        <f t="array" ref="K187">_xlfn.IFS(Table1[[#This Row],[Exercise_Frequency(week)]]&lt;3, "Beginners (0–2 days)", Table1[[#This Row],[Exercise_Frequency(week)]]&lt;5, "Intermediate (3–4 days)", Table1[[#This Row],[Exercise_Frequency(week)]]&lt;8, "Advanced (5–7 days)")</f>
        <v>Beginners (0–2 days)</v>
      </c>
      <c r="L187" t="s">
        <v>23</v>
      </c>
      <c r="M187" s="2">
        <v>8</v>
      </c>
    </row>
    <row r="188" spans="1:13" x14ac:dyDescent="0.5">
      <c r="A188" t="s">
        <v>90</v>
      </c>
      <c r="B188" s="2">
        <v>27</v>
      </c>
      <c r="C188" s="2" t="str" cm="1">
        <f t="array" ref="C188">_xlfn.IFS(B188&lt;25, "Youth (16–24)", B188&lt;35, "Young Adults (25–34)", B188&lt;45, "Adults (35–44)", B188&lt;55, "Middle-aged (45–54)")</f>
        <v>Young Adults (25–34)</v>
      </c>
      <c r="D188" t="s">
        <v>11</v>
      </c>
      <c r="E188" s="1">
        <v>6.5</v>
      </c>
      <c r="F188" s="1" t="str" cm="1">
        <f t="array" ref="F188">_xlfn.IFS(E188&lt;3, "Low (0–3 hrs)", E188&lt;6, "Moderate (3–6 hrs)", E188&lt;8, "High (6–8 hrs)", E188&gt;=8, "Very High (8+ hrs)")</f>
        <v>High (6–8 hrs)</v>
      </c>
      <c r="G188" s="2">
        <v>7</v>
      </c>
      <c r="H188" s="2">
        <v>9</v>
      </c>
      <c r="I188" s="2">
        <v>7</v>
      </c>
      <c r="J188" s="2">
        <v>2</v>
      </c>
      <c r="K188" s="2" t="str" cm="1">
        <f t="array" ref="K188">_xlfn.IFS(Table1[[#This Row],[Exercise_Frequency(week)]]&lt;3, "Beginners (0–2 days)", Table1[[#This Row],[Exercise_Frequency(week)]]&lt;5, "Intermediate (3–4 days)", Table1[[#This Row],[Exercise_Frequency(week)]]&lt;8, "Advanced (5–7 days)")</f>
        <v>Beginners (0–2 days)</v>
      </c>
      <c r="L188" t="s">
        <v>17</v>
      </c>
      <c r="M188" s="2">
        <v>8</v>
      </c>
    </row>
    <row r="189" spans="1:13" x14ac:dyDescent="0.5">
      <c r="A189" t="s">
        <v>105</v>
      </c>
      <c r="B189" s="2">
        <v>30</v>
      </c>
      <c r="C189" s="2" t="str" cm="1">
        <f t="array" ref="C189">_xlfn.IFS(B189&lt;25, "Youth (16–24)", B189&lt;35, "Young Adults (25–34)", B189&lt;45, "Adults (35–44)", B189&lt;55, "Middle-aged (45–54)")</f>
        <v>Young Adults (25–34)</v>
      </c>
      <c r="D189" t="s">
        <v>16</v>
      </c>
      <c r="E189" s="1">
        <v>7.9</v>
      </c>
      <c r="F189" s="1" t="str" cm="1">
        <f t="array" ref="F189">_xlfn.IFS(E189&lt;3, "Low (0–3 hrs)", E189&lt;6, "Moderate (3–6 hrs)", E189&lt;8, "High (6–8 hrs)", E189&gt;=8, "Very High (8+ hrs)")</f>
        <v>High (6–8 hrs)</v>
      </c>
      <c r="G189" s="2">
        <v>5</v>
      </c>
      <c r="H189" s="2">
        <v>8</v>
      </c>
      <c r="I189" s="2">
        <v>0</v>
      </c>
      <c r="J189" s="2">
        <v>2</v>
      </c>
      <c r="K189" s="2" t="str" cm="1">
        <f t="array" ref="K189">_xlfn.IFS(Table1[[#This Row],[Exercise_Frequency(week)]]&lt;3, "Beginners (0–2 days)", Table1[[#This Row],[Exercise_Frequency(week)]]&lt;5, "Intermediate (3–4 days)", Table1[[#This Row],[Exercise_Frequency(week)]]&lt;8, "Advanced (5–7 days)")</f>
        <v>Beginners (0–2 days)</v>
      </c>
      <c r="L189" t="s">
        <v>13</v>
      </c>
      <c r="M189" s="2">
        <v>8</v>
      </c>
    </row>
    <row r="190" spans="1:13" x14ac:dyDescent="0.5">
      <c r="A190" t="s">
        <v>116</v>
      </c>
      <c r="B190" s="2">
        <v>28</v>
      </c>
      <c r="C190" s="2" t="str" cm="1">
        <f t="array" ref="C190">_xlfn.IFS(B190&lt;25, "Youth (16–24)", B190&lt;35, "Young Adults (25–34)", B190&lt;45, "Adults (35–44)", B190&lt;55, "Middle-aged (45–54)")</f>
        <v>Young Adults (25–34)</v>
      </c>
      <c r="D190" t="s">
        <v>11</v>
      </c>
      <c r="E190" s="1">
        <v>7</v>
      </c>
      <c r="F190" s="1" t="str" cm="1">
        <f t="array" ref="F190">_xlfn.IFS(E190&lt;3, "Low (0–3 hrs)", E190&lt;6, "Moderate (3–6 hrs)", E190&lt;8, "High (6–8 hrs)", E190&gt;=8, "Very High (8+ hrs)")</f>
        <v>High (6–8 hrs)</v>
      </c>
      <c r="G190" s="2">
        <v>6</v>
      </c>
      <c r="H190" s="2">
        <v>6</v>
      </c>
      <c r="I190" s="2">
        <v>3</v>
      </c>
      <c r="J190" s="2">
        <v>2</v>
      </c>
      <c r="K190" s="2" t="str" cm="1">
        <f t="array" ref="K190">_xlfn.IFS(Table1[[#This Row],[Exercise_Frequency(week)]]&lt;3, "Beginners (0–2 days)", Table1[[#This Row],[Exercise_Frequency(week)]]&lt;5, "Intermediate (3–4 days)", Table1[[#This Row],[Exercise_Frequency(week)]]&lt;8, "Advanced (5–7 days)")</f>
        <v>Beginners (0–2 days)</v>
      </c>
      <c r="L190" t="s">
        <v>19</v>
      </c>
      <c r="M190" s="2">
        <v>8</v>
      </c>
    </row>
    <row r="191" spans="1:13" x14ac:dyDescent="0.5">
      <c r="A191" t="s">
        <v>160</v>
      </c>
      <c r="B191" s="2">
        <v>21</v>
      </c>
      <c r="C191" s="2" t="str" cm="1">
        <f t="array" ref="C191">_xlfn.IFS(B191&lt;25, "Youth (16–24)", B191&lt;35, "Young Adults (25–34)", B191&lt;45, "Adults (35–44)", B191&lt;55, "Middle-aged (45–54)")</f>
        <v>Youth (16–24)</v>
      </c>
      <c r="D191" t="s">
        <v>11</v>
      </c>
      <c r="E191" s="1">
        <v>4.8</v>
      </c>
      <c r="F191" s="1" t="str" cm="1">
        <f t="array" ref="F191">_xlfn.IFS(E191&lt;3, "Low (0–3 hrs)", E191&lt;6, "Moderate (3–6 hrs)", E191&lt;8, "High (6–8 hrs)", E191&gt;=8, "Very High (8+ hrs)")</f>
        <v>Moderate (3–6 hrs)</v>
      </c>
      <c r="G191" s="2">
        <v>5</v>
      </c>
      <c r="H191" s="2">
        <v>7</v>
      </c>
      <c r="I191" s="2">
        <v>1</v>
      </c>
      <c r="J191" s="2">
        <v>2</v>
      </c>
      <c r="K191" s="2" t="str" cm="1">
        <f t="array" ref="K191">_xlfn.IFS(Table1[[#This Row],[Exercise_Frequency(week)]]&lt;3, "Beginners (0–2 days)", Table1[[#This Row],[Exercise_Frequency(week)]]&lt;5, "Intermediate (3–4 days)", Table1[[#This Row],[Exercise_Frequency(week)]]&lt;8, "Advanced (5–7 days)")</f>
        <v>Beginners (0–2 days)</v>
      </c>
      <c r="L191" t="s">
        <v>23</v>
      </c>
      <c r="M191" s="2">
        <v>8</v>
      </c>
    </row>
    <row r="192" spans="1:13" x14ac:dyDescent="0.5">
      <c r="A192" t="s">
        <v>180</v>
      </c>
      <c r="B192" s="2">
        <v>18</v>
      </c>
      <c r="C192" s="2" t="str" cm="1">
        <f t="array" ref="C192">_xlfn.IFS(B192&lt;25, "Youth (16–24)", B192&lt;35, "Young Adults (25–34)", B192&lt;45, "Adults (35–44)", B192&lt;55, "Middle-aged (45–54)")</f>
        <v>Youth (16–24)</v>
      </c>
      <c r="D192" t="s">
        <v>16</v>
      </c>
      <c r="E192" s="1">
        <v>6.4</v>
      </c>
      <c r="F192" s="1" t="str" cm="1">
        <f t="array" ref="F192">_xlfn.IFS(E192&lt;3, "Low (0–3 hrs)", E192&lt;6, "Moderate (3–6 hrs)", E192&lt;8, "High (6–8 hrs)", E192&gt;=8, "Very High (8+ hrs)")</f>
        <v>High (6–8 hrs)</v>
      </c>
      <c r="G192" s="2">
        <v>6</v>
      </c>
      <c r="H192" s="2">
        <v>8</v>
      </c>
      <c r="I192" s="2">
        <v>0</v>
      </c>
      <c r="J192" s="2">
        <v>2</v>
      </c>
      <c r="K192" s="2" t="str" cm="1">
        <f t="array" ref="K192">_xlfn.IFS(Table1[[#This Row],[Exercise_Frequency(week)]]&lt;3, "Beginners (0–2 days)", Table1[[#This Row],[Exercise_Frequency(week)]]&lt;5, "Intermediate (3–4 days)", Table1[[#This Row],[Exercise_Frequency(week)]]&lt;8, "Advanced (5–7 days)")</f>
        <v>Beginners (0–2 days)</v>
      </c>
      <c r="L192" t="s">
        <v>19</v>
      </c>
      <c r="M192" s="2">
        <v>8</v>
      </c>
    </row>
    <row r="193" spans="1:13" x14ac:dyDescent="0.5">
      <c r="A193" t="s">
        <v>199</v>
      </c>
      <c r="B193" s="2">
        <v>47</v>
      </c>
      <c r="C193" s="2" t="str" cm="1">
        <f t="array" ref="C193">_xlfn.IFS(B193&lt;25, "Youth (16–24)", B193&lt;35, "Young Adults (25–34)", B193&lt;45, "Adults (35–44)", B193&lt;55, "Middle-aged (45–54)")</f>
        <v>Middle-aged (45–54)</v>
      </c>
      <c r="D193" t="s">
        <v>16</v>
      </c>
      <c r="E193" s="1">
        <v>6.5</v>
      </c>
      <c r="F193" s="1" t="str" cm="1">
        <f t="array" ref="F193">_xlfn.IFS(E193&lt;3, "Low (0–3 hrs)", E193&lt;6, "Moderate (3–6 hrs)", E193&lt;8, "High (6–8 hrs)", E193&gt;=8, "Very High (8+ hrs)")</f>
        <v>High (6–8 hrs)</v>
      </c>
      <c r="G193" s="2">
        <v>5</v>
      </c>
      <c r="H193" s="2">
        <v>7</v>
      </c>
      <c r="I193" s="2">
        <v>2</v>
      </c>
      <c r="J193" s="2">
        <v>2</v>
      </c>
      <c r="K193" s="2" t="str" cm="1">
        <f t="array" ref="K193">_xlfn.IFS(Table1[[#This Row],[Exercise_Frequency(week)]]&lt;3, "Beginners (0–2 days)", Table1[[#This Row],[Exercise_Frequency(week)]]&lt;5, "Intermediate (3–4 days)", Table1[[#This Row],[Exercise_Frequency(week)]]&lt;8, "Advanced (5–7 days)")</f>
        <v>Beginners (0–2 days)</v>
      </c>
      <c r="L193" t="s">
        <v>13</v>
      </c>
      <c r="M193" s="2">
        <v>8</v>
      </c>
    </row>
    <row r="194" spans="1:13" x14ac:dyDescent="0.5">
      <c r="A194" t="s">
        <v>220</v>
      </c>
      <c r="B194" s="2">
        <v>29</v>
      </c>
      <c r="C194" s="2" t="str" cm="1">
        <f t="array" ref="C194">_xlfn.IFS(B194&lt;25, "Youth (16–24)", B194&lt;35, "Young Adults (25–34)", B194&lt;45, "Adults (35–44)", B194&lt;55, "Middle-aged (45–54)")</f>
        <v>Young Adults (25–34)</v>
      </c>
      <c r="D194" t="s">
        <v>11</v>
      </c>
      <c r="E194" s="1">
        <v>5.6</v>
      </c>
      <c r="F194" s="1" t="str" cm="1">
        <f t="array" ref="F194">_xlfn.IFS(E194&lt;3, "Low (0–3 hrs)", E194&lt;6, "Moderate (3–6 hrs)", E194&lt;8, "High (6–8 hrs)", E194&gt;=8, "Very High (8+ hrs)")</f>
        <v>Moderate (3–6 hrs)</v>
      </c>
      <c r="G194" s="2">
        <v>6</v>
      </c>
      <c r="H194" s="2">
        <v>6</v>
      </c>
      <c r="I194" s="2">
        <v>0</v>
      </c>
      <c r="J194" s="2">
        <v>2</v>
      </c>
      <c r="K194" s="2" t="str" cm="1">
        <f t="array" ref="K194">_xlfn.IFS(Table1[[#This Row],[Exercise_Frequency(week)]]&lt;3, "Beginners (0–2 days)", Table1[[#This Row],[Exercise_Frequency(week)]]&lt;5, "Intermediate (3–4 days)", Table1[[#This Row],[Exercise_Frequency(week)]]&lt;8, "Advanced (5–7 days)")</f>
        <v>Beginners (0–2 days)</v>
      </c>
      <c r="L194" t="s">
        <v>19</v>
      </c>
      <c r="M194" s="2">
        <v>8</v>
      </c>
    </row>
    <row r="195" spans="1:13" x14ac:dyDescent="0.5">
      <c r="A195" t="s">
        <v>223</v>
      </c>
      <c r="B195" s="2">
        <v>22</v>
      </c>
      <c r="C195" s="2" t="str" cm="1">
        <f t="array" ref="C195">_xlfn.IFS(B195&lt;25, "Youth (16–24)", B195&lt;35, "Young Adults (25–34)", B195&lt;45, "Adults (35–44)", B195&lt;55, "Middle-aged (45–54)")</f>
        <v>Youth (16–24)</v>
      </c>
      <c r="D195" t="s">
        <v>11</v>
      </c>
      <c r="E195" s="1">
        <v>4.2</v>
      </c>
      <c r="F195" s="1" t="str" cm="1">
        <f t="array" ref="F195">_xlfn.IFS(E195&lt;3, "Low (0–3 hrs)", E195&lt;6, "Moderate (3–6 hrs)", E195&lt;8, "High (6–8 hrs)", E195&gt;=8, "Very High (8+ hrs)")</f>
        <v>Moderate (3–6 hrs)</v>
      </c>
      <c r="G195" s="2">
        <v>6</v>
      </c>
      <c r="H195" s="2">
        <v>6</v>
      </c>
      <c r="I195" s="2">
        <v>0</v>
      </c>
      <c r="J195" s="2">
        <v>2</v>
      </c>
      <c r="K195" s="2" t="str" cm="1">
        <f t="array" ref="K195">_xlfn.IFS(Table1[[#This Row],[Exercise_Frequency(week)]]&lt;3, "Beginners (0–2 days)", Table1[[#This Row],[Exercise_Frequency(week)]]&lt;5, "Intermediate (3–4 days)", Table1[[#This Row],[Exercise_Frequency(week)]]&lt;8, "Advanced (5–7 days)")</f>
        <v>Beginners (0–2 days)</v>
      </c>
      <c r="L195" t="s">
        <v>14</v>
      </c>
      <c r="M195" s="2">
        <v>8</v>
      </c>
    </row>
    <row r="196" spans="1:13" x14ac:dyDescent="0.5">
      <c r="A196" t="s">
        <v>224</v>
      </c>
      <c r="B196" s="2">
        <v>18</v>
      </c>
      <c r="C196" s="2" t="str" cm="1">
        <f t="array" ref="C196">_xlfn.IFS(B196&lt;25, "Youth (16–24)", B196&lt;35, "Young Adults (25–34)", B196&lt;45, "Adults (35–44)", B196&lt;55, "Middle-aged (45–54)")</f>
        <v>Youth (16–24)</v>
      </c>
      <c r="D196" t="s">
        <v>16</v>
      </c>
      <c r="E196" s="1">
        <v>5.9</v>
      </c>
      <c r="F196" s="1" t="str" cm="1">
        <f t="array" ref="F196">_xlfn.IFS(E196&lt;3, "Low (0–3 hrs)", E196&lt;6, "Moderate (3–6 hrs)", E196&lt;8, "High (6–8 hrs)", E196&gt;=8, "Very High (8+ hrs)")</f>
        <v>Moderate (3–6 hrs)</v>
      </c>
      <c r="G196" s="2">
        <v>8</v>
      </c>
      <c r="H196" s="2">
        <v>6</v>
      </c>
      <c r="I196" s="2">
        <v>0</v>
      </c>
      <c r="J196" s="2">
        <v>2</v>
      </c>
      <c r="K196" s="2" t="str" cm="1">
        <f t="array" ref="K196">_xlfn.IFS(Table1[[#This Row],[Exercise_Frequency(week)]]&lt;3, "Beginners (0–2 days)", Table1[[#This Row],[Exercise_Frequency(week)]]&lt;5, "Intermediate (3–4 days)", Table1[[#This Row],[Exercise_Frequency(week)]]&lt;8, "Advanced (5–7 days)")</f>
        <v>Beginners (0–2 days)</v>
      </c>
      <c r="L196" t="s">
        <v>12</v>
      </c>
      <c r="M196" s="2">
        <v>8</v>
      </c>
    </row>
    <row r="197" spans="1:13" x14ac:dyDescent="0.5">
      <c r="A197" t="s">
        <v>228</v>
      </c>
      <c r="B197" s="2">
        <v>37</v>
      </c>
      <c r="C197" s="2" t="str" cm="1">
        <f t="array" ref="C197">_xlfn.IFS(B197&lt;25, "Youth (16–24)", B197&lt;35, "Young Adults (25–34)", B197&lt;45, "Adults (35–44)", B197&lt;55, "Middle-aged (45–54)")</f>
        <v>Adults (35–44)</v>
      </c>
      <c r="D197" t="s">
        <v>16</v>
      </c>
      <c r="E197" s="1">
        <v>4.5999999999999996</v>
      </c>
      <c r="F197" s="1" t="str" cm="1">
        <f t="array" ref="F197">_xlfn.IFS(E197&lt;3, "Low (0–3 hrs)", E197&lt;6, "Moderate (3–6 hrs)", E197&lt;8, "High (6–8 hrs)", E197&gt;=8, "Very High (8+ hrs)")</f>
        <v>Moderate (3–6 hrs)</v>
      </c>
      <c r="G197" s="2">
        <v>9</v>
      </c>
      <c r="H197" s="2">
        <v>6</v>
      </c>
      <c r="I197" s="2">
        <v>3</v>
      </c>
      <c r="J197" s="2">
        <v>2</v>
      </c>
      <c r="K197" s="2" t="str" cm="1">
        <f t="array" ref="K197">_xlfn.IFS(Table1[[#This Row],[Exercise_Frequency(week)]]&lt;3, "Beginners (0–2 days)", Table1[[#This Row],[Exercise_Frequency(week)]]&lt;5, "Intermediate (3–4 days)", Table1[[#This Row],[Exercise_Frequency(week)]]&lt;8, "Advanced (5–7 days)")</f>
        <v>Beginners (0–2 days)</v>
      </c>
      <c r="L197" t="s">
        <v>14</v>
      </c>
      <c r="M197" s="2">
        <v>8</v>
      </c>
    </row>
    <row r="198" spans="1:13" x14ac:dyDescent="0.5">
      <c r="A198" t="s">
        <v>235</v>
      </c>
      <c r="B198" s="2">
        <v>36</v>
      </c>
      <c r="C198" s="2" t="str" cm="1">
        <f t="array" ref="C198">_xlfn.IFS(B198&lt;25, "Youth (16–24)", B198&lt;35, "Young Adults (25–34)", B198&lt;45, "Adults (35–44)", B198&lt;55, "Middle-aged (45–54)")</f>
        <v>Adults (35–44)</v>
      </c>
      <c r="D198" t="s">
        <v>11</v>
      </c>
      <c r="E198" s="1">
        <v>6.7</v>
      </c>
      <c r="F198" s="1" t="str" cm="1">
        <f t="array" ref="F198">_xlfn.IFS(E198&lt;3, "Low (0–3 hrs)", E198&lt;6, "Moderate (3–6 hrs)", E198&lt;8, "High (6–8 hrs)", E198&gt;=8, "Very High (8+ hrs)")</f>
        <v>High (6–8 hrs)</v>
      </c>
      <c r="G198" s="2">
        <v>7</v>
      </c>
      <c r="H198" s="2">
        <v>7</v>
      </c>
      <c r="I198" s="2">
        <v>4</v>
      </c>
      <c r="J198" s="2">
        <v>2</v>
      </c>
      <c r="K198" s="2" t="str" cm="1">
        <f t="array" ref="K198">_xlfn.IFS(Table1[[#This Row],[Exercise_Frequency(week)]]&lt;3, "Beginners (0–2 days)", Table1[[#This Row],[Exercise_Frequency(week)]]&lt;5, "Intermediate (3–4 days)", Table1[[#This Row],[Exercise_Frequency(week)]]&lt;8, "Advanced (5–7 days)")</f>
        <v>Beginners (0–2 days)</v>
      </c>
      <c r="L198" t="s">
        <v>17</v>
      </c>
      <c r="M198" s="2">
        <v>8</v>
      </c>
    </row>
    <row r="199" spans="1:13" x14ac:dyDescent="0.5">
      <c r="A199" t="s">
        <v>253</v>
      </c>
      <c r="B199" s="2">
        <v>47</v>
      </c>
      <c r="C199" s="2" t="str" cm="1">
        <f t="array" ref="C199">_xlfn.IFS(B199&lt;25, "Youth (16–24)", B199&lt;35, "Young Adults (25–34)", B199&lt;45, "Adults (35–44)", B199&lt;55, "Middle-aged (45–54)")</f>
        <v>Middle-aged (45–54)</v>
      </c>
      <c r="D199" t="s">
        <v>16</v>
      </c>
      <c r="E199" s="1">
        <v>6.9</v>
      </c>
      <c r="F199" s="1" t="str" cm="1">
        <f t="array" ref="F199">_xlfn.IFS(E199&lt;3, "Low (0–3 hrs)", E199&lt;6, "Moderate (3–6 hrs)", E199&lt;8, "High (6–8 hrs)", E199&gt;=8, "Very High (8+ hrs)")</f>
        <v>High (6–8 hrs)</v>
      </c>
      <c r="G199" s="2">
        <v>6</v>
      </c>
      <c r="H199" s="2">
        <v>8</v>
      </c>
      <c r="I199" s="2">
        <v>4</v>
      </c>
      <c r="J199" s="2">
        <v>2</v>
      </c>
      <c r="K199" s="2" t="str" cm="1">
        <f t="array" ref="K199">_xlfn.IFS(Table1[[#This Row],[Exercise_Frequency(week)]]&lt;3, "Beginners (0–2 days)", Table1[[#This Row],[Exercise_Frequency(week)]]&lt;5, "Intermediate (3–4 days)", Table1[[#This Row],[Exercise_Frequency(week)]]&lt;8, "Advanced (5–7 days)")</f>
        <v>Beginners (0–2 days)</v>
      </c>
      <c r="L199" t="s">
        <v>19</v>
      </c>
      <c r="M199" s="2">
        <v>8</v>
      </c>
    </row>
    <row r="200" spans="1:13" x14ac:dyDescent="0.5">
      <c r="A200" t="s">
        <v>266</v>
      </c>
      <c r="B200" s="2">
        <v>42</v>
      </c>
      <c r="C200" s="2" t="str" cm="1">
        <f t="array" ref="C200">_xlfn.IFS(B200&lt;25, "Youth (16–24)", B200&lt;35, "Young Adults (25–34)", B200&lt;45, "Adults (35–44)", B200&lt;55, "Middle-aged (45–54)")</f>
        <v>Adults (35–44)</v>
      </c>
      <c r="D200" t="s">
        <v>11</v>
      </c>
      <c r="E200" s="1">
        <v>5.3</v>
      </c>
      <c r="F200" s="1" t="str" cm="1">
        <f t="array" ref="F200">_xlfn.IFS(E200&lt;3, "Low (0–3 hrs)", E200&lt;6, "Moderate (3–6 hrs)", E200&lt;8, "High (6–8 hrs)", E200&gt;=8, "Very High (8+ hrs)")</f>
        <v>Moderate (3–6 hrs)</v>
      </c>
      <c r="G200" s="2">
        <v>7</v>
      </c>
      <c r="H200" s="2">
        <v>7</v>
      </c>
      <c r="I200" s="2">
        <v>4</v>
      </c>
      <c r="J200" s="2">
        <v>2</v>
      </c>
      <c r="K200" s="2" t="str" cm="1">
        <f t="array" ref="K200">_xlfn.IFS(Table1[[#This Row],[Exercise_Frequency(week)]]&lt;3, "Beginners (0–2 days)", Table1[[#This Row],[Exercise_Frequency(week)]]&lt;5, "Intermediate (3–4 days)", Table1[[#This Row],[Exercise_Frequency(week)]]&lt;8, "Advanced (5–7 days)")</f>
        <v>Beginners (0–2 days)</v>
      </c>
      <c r="L200" t="s">
        <v>17</v>
      </c>
      <c r="M200" s="2">
        <v>8</v>
      </c>
    </row>
    <row r="201" spans="1:13" x14ac:dyDescent="0.5">
      <c r="A201" t="s">
        <v>269</v>
      </c>
      <c r="B201" s="2">
        <v>32</v>
      </c>
      <c r="C201" s="2" t="str" cm="1">
        <f t="array" ref="C201">_xlfn.IFS(B201&lt;25, "Youth (16–24)", B201&lt;35, "Young Adults (25–34)", B201&lt;45, "Adults (35–44)", B201&lt;55, "Middle-aged (45–54)")</f>
        <v>Young Adults (25–34)</v>
      </c>
      <c r="D201" t="s">
        <v>11</v>
      </c>
      <c r="E201" s="1">
        <v>4.5</v>
      </c>
      <c r="F201" s="1" t="str" cm="1">
        <f t="array" ref="F201">_xlfn.IFS(E201&lt;3, "Low (0–3 hrs)", E201&lt;6, "Moderate (3–6 hrs)", E201&lt;8, "High (6–8 hrs)", E201&gt;=8, "Very High (8+ hrs)")</f>
        <v>Moderate (3–6 hrs)</v>
      </c>
      <c r="G201" s="2">
        <v>7</v>
      </c>
      <c r="H201" s="2">
        <v>6</v>
      </c>
      <c r="I201" s="2">
        <v>1</v>
      </c>
      <c r="J201" s="2">
        <v>2</v>
      </c>
      <c r="K201" s="2" t="str" cm="1">
        <f t="array" ref="K201">_xlfn.IFS(Table1[[#This Row],[Exercise_Frequency(week)]]&lt;3, "Beginners (0–2 days)", Table1[[#This Row],[Exercise_Frequency(week)]]&lt;5, "Intermediate (3–4 days)", Table1[[#This Row],[Exercise_Frequency(week)]]&lt;8, "Advanced (5–7 days)")</f>
        <v>Beginners (0–2 days)</v>
      </c>
      <c r="L201" t="s">
        <v>13</v>
      </c>
      <c r="M201" s="2">
        <v>8</v>
      </c>
    </row>
    <row r="202" spans="1:13" x14ac:dyDescent="0.5">
      <c r="A202" t="s">
        <v>293</v>
      </c>
      <c r="B202" s="2">
        <v>37</v>
      </c>
      <c r="C202" s="2" t="str" cm="1">
        <f t="array" ref="C202">_xlfn.IFS(B202&lt;25, "Youth (16–24)", B202&lt;35, "Young Adults (25–34)", B202&lt;45, "Adults (35–44)", B202&lt;55, "Middle-aged (45–54)")</f>
        <v>Adults (35–44)</v>
      </c>
      <c r="D202" t="s">
        <v>11</v>
      </c>
      <c r="E202" s="1">
        <v>4.2</v>
      </c>
      <c r="F202" s="1" t="str" cm="1">
        <f t="array" ref="F202">_xlfn.IFS(E202&lt;3, "Low (0–3 hrs)", E202&lt;6, "Moderate (3–6 hrs)", E202&lt;8, "High (6–8 hrs)", E202&gt;=8, "Very High (8+ hrs)")</f>
        <v>Moderate (3–6 hrs)</v>
      </c>
      <c r="G202" s="2">
        <v>9</v>
      </c>
      <c r="H202" s="2">
        <v>7</v>
      </c>
      <c r="I202" s="2">
        <v>2</v>
      </c>
      <c r="J202" s="2">
        <v>2</v>
      </c>
      <c r="K202" s="2" t="str" cm="1">
        <f t="array" ref="K202">_xlfn.IFS(Table1[[#This Row],[Exercise_Frequency(week)]]&lt;3, "Beginners (0–2 days)", Table1[[#This Row],[Exercise_Frequency(week)]]&lt;5, "Intermediate (3–4 days)", Table1[[#This Row],[Exercise_Frequency(week)]]&lt;8, "Advanced (5–7 days)")</f>
        <v>Beginners (0–2 days)</v>
      </c>
      <c r="L202" t="s">
        <v>13</v>
      </c>
      <c r="M202" s="2">
        <v>8</v>
      </c>
    </row>
    <row r="203" spans="1:13" x14ac:dyDescent="0.5">
      <c r="A203" t="s">
        <v>316</v>
      </c>
      <c r="B203" s="2">
        <v>49</v>
      </c>
      <c r="C203" s="2" t="str" cm="1">
        <f t="array" ref="C203">_xlfn.IFS(B203&lt;25, "Youth (16–24)", B203&lt;35, "Young Adults (25–34)", B203&lt;45, "Adults (35–44)", B203&lt;55, "Middle-aged (45–54)")</f>
        <v>Middle-aged (45–54)</v>
      </c>
      <c r="D203" t="s">
        <v>16</v>
      </c>
      <c r="E203" s="1">
        <v>5.2</v>
      </c>
      <c r="F203" s="1" t="str" cm="1">
        <f t="array" ref="F203">_xlfn.IFS(E203&lt;3, "Low (0–3 hrs)", E203&lt;6, "Moderate (3–6 hrs)", E203&lt;8, "High (6–8 hrs)", E203&gt;=8, "Very High (8+ hrs)")</f>
        <v>Moderate (3–6 hrs)</v>
      </c>
      <c r="G203" s="2">
        <v>7</v>
      </c>
      <c r="H203" s="2">
        <v>8</v>
      </c>
      <c r="I203" s="2">
        <v>3</v>
      </c>
      <c r="J203" s="2">
        <v>2</v>
      </c>
      <c r="K203" s="2" t="str" cm="1">
        <f t="array" ref="K203">_xlfn.IFS(Table1[[#This Row],[Exercise_Frequency(week)]]&lt;3, "Beginners (0–2 days)", Table1[[#This Row],[Exercise_Frequency(week)]]&lt;5, "Intermediate (3–4 days)", Table1[[#This Row],[Exercise_Frequency(week)]]&lt;8, "Advanced (5–7 days)")</f>
        <v>Beginners (0–2 days)</v>
      </c>
      <c r="L203" t="s">
        <v>13</v>
      </c>
      <c r="M203" s="2">
        <v>8</v>
      </c>
    </row>
    <row r="204" spans="1:13" x14ac:dyDescent="0.5">
      <c r="A204" t="s">
        <v>317</v>
      </c>
      <c r="B204" s="2">
        <v>47</v>
      </c>
      <c r="C204" s="2" t="str" cm="1">
        <f t="array" ref="C204">_xlfn.IFS(B204&lt;25, "Youth (16–24)", B204&lt;35, "Young Adults (25–34)", B204&lt;45, "Adults (35–44)", B204&lt;55, "Middle-aged (45–54)")</f>
        <v>Middle-aged (45–54)</v>
      </c>
      <c r="D204" t="s">
        <v>16</v>
      </c>
      <c r="E204" s="1">
        <v>6.3</v>
      </c>
      <c r="F204" s="1" t="str" cm="1">
        <f t="array" ref="F204">_xlfn.IFS(E204&lt;3, "Low (0–3 hrs)", E204&lt;6, "Moderate (3–6 hrs)", E204&lt;8, "High (6–8 hrs)", E204&gt;=8, "Very High (8+ hrs)")</f>
        <v>High (6–8 hrs)</v>
      </c>
      <c r="G204" s="2">
        <v>5</v>
      </c>
      <c r="H204" s="2">
        <v>8</v>
      </c>
      <c r="I204" s="2">
        <v>7</v>
      </c>
      <c r="J204" s="2">
        <v>2</v>
      </c>
      <c r="K204" s="2" t="str" cm="1">
        <f t="array" ref="K204">_xlfn.IFS(Table1[[#This Row],[Exercise_Frequency(week)]]&lt;3, "Beginners (0–2 days)", Table1[[#This Row],[Exercise_Frequency(week)]]&lt;5, "Intermediate (3–4 days)", Table1[[#This Row],[Exercise_Frequency(week)]]&lt;8, "Advanced (5–7 days)")</f>
        <v>Beginners (0–2 days)</v>
      </c>
      <c r="L204" t="s">
        <v>19</v>
      </c>
      <c r="M204" s="2">
        <v>8</v>
      </c>
    </row>
    <row r="205" spans="1:13" x14ac:dyDescent="0.5">
      <c r="A205" t="s">
        <v>321</v>
      </c>
      <c r="B205" s="2">
        <v>20</v>
      </c>
      <c r="C205" s="2" t="str" cm="1">
        <f t="array" ref="C205">_xlfn.IFS(B205&lt;25, "Youth (16–24)", B205&lt;35, "Young Adults (25–34)", B205&lt;45, "Adults (35–44)", B205&lt;55, "Middle-aged (45–54)")</f>
        <v>Youth (16–24)</v>
      </c>
      <c r="D205" t="s">
        <v>11</v>
      </c>
      <c r="E205" s="1">
        <v>6.3</v>
      </c>
      <c r="F205" s="1" t="str" cm="1">
        <f t="array" ref="F205">_xlfn.IFS(E205&lt;3, "Low (0–3 hrs)", E205&lt;6, "Moderate (3–6 hrs)", E205&lt;8, "High (6–8 hrs)", E205&gt;=8, "Very High (8+ hrs)")</f>
        <v>High (6–8 hrs)</v>
      </c>
      <c r="G205" s="2">
        <v>6</v>
      </c>
      <c r="H205" s="2">
        <v>6</v>
      </c>
      <c r="I205" s="2">
        <v>4</v>
      </c>
      <c r="J205" s="2">
        <v>2</v>
      </c>
      <c r="K205" s="2" t="str" cm="1">
        <f t="array" ref="K205">_xlfn.IFS(Table1[[#This Row],[Exercise_Frequency(week)]]&lt;3, "Beginners (0–2 days)", Table1[[#This Row],[Exercise_Frequency(week)]]&lt;5, "Intermediate (3–4 days)", Table1[[#This Row],[Exercise_Frequency(week)]]&lt;8, "Advanced (5–7 days)")</f>
        <v>Beginners (0–2 days)</v>
      </c>
      <c r="L205" t="s">
        <v>17</v>
      </c>
      <c r="M205" s="2">
        <v>8</v>
      </c>
    </row>
    <row r="206" spans="1:13" x14ac:dyDescent="0.5">
      <c r="A206" t="s">
        <v>327</v>
      </c>
      <c r="B206" s="2">
        <v>31</v>
      </c>
      <c r="C206" s="2" t="str" cm="1">
        <f t="array" ref="C206">_xlfn.IFS(B206&lt;25, "Youth (16–24)", B206&lt;35, "Young Adults (25–34)", B206&lt;45, "Adults (35–44)", B206&lt;55, "Middle-aged (45–54)")</f>
        <v>Young Adults (25–34)</v>
      </c>
      <c r="D206" t="s">
        <v>16</v>
      </c>
      <c r="E206" s="1">
        <v>6.2</v>
      </c>
      <c r="F206" s="1" t="str" cm="1">
        <f t="array" ref="F206">_xlfn.IFS(E206&lt;3, "Low (0–3 hrs)", E206&lt;6, "Moderate (3–6 hrs)", E206&lt;8, "High (6–8 hrs)", E206&gt;=8, "Very High (8+ hrs)")</f>
        <v>High (6–8 hrs)</v>
      </c>
      <c r="G206" s="2">
        <v>6</v>
      </c>
      <c r="H206" s="2">
        <v>7</v>
      </c>
      <c r="I206" s="2">
        <v>6</v>
      </c>
      <c r="J206" s="2">
        <v>2</v>
      </c>
      <c r="K206" s="2" t="str" cm="1">
        <f t="array" ref="K206">_xlfn.IFS(Table1[[#This Row],[Exercise_Frequency(week)]]&lt;3, "Beginners (0–2 days)", Table1[[#This Row],[Exercise_Frequency(week)]]&lt;5, "Intermediate (3–4 days)", Table1[[#This Row],[Exercise_Frequency(week)]]&lt;8, "Advanced (5–7 days)")</f>
        <v>Beginners (0–2 days)</v>
      </c>
      <c r="L206" t="s">
        <v>12</v>
      </c>
      <c r="M206" s="2">
        <v>8</v>
      </c>
    </row>
    <row r="207" spans="1:13" x14ac:dyDescent="0.5">
      <c r="A207" t="s">
        <v>348</v>
      </c>
      <c r="B207" s="2">
        <v>47</v>
      </c>
      <c r="C207" s="2" t="str" cm="1">
        <f t="array" ref="C207">_xlfn.IFS(B207&lt;25, "Youth (16–24)", B207&lt;35, "Young Adults (25–34)", B207&lt;45, "Adults (35–44)", B207&lt;55, "Middle-aged (45–54)")</f>
        <v>Middle-aged (45–54)</v>
      </c>
      <c r="D207" t="s">
        <v>11</v>
      </c>
      <c r="E207" s="1">
        <v>6</v>
      </c>
      <c r="F207" s="1" t="str" cm="1">
        <f t="array" ref="F207">_xlfn.IFS(E207&lt;3, "Low (0–3 hrs)", E207&lt;6, "Moderate (3–6 hrs)", E207&lt;8, "High (6–8 hrs)", E207&gt;=8, "Very High (8+ hrs)")</f>
        <v>High (6–8 hrs)</v>
      </c>
      <c r="G207" s="2">
        <v>6</v>
      </c>
      <c r="H207" s="2">
        <v>7</v>
      </c>
      <c r="I207" s="2">
        <v>3</v>
      </c>
      <c r="J207" s="2">
        <v>2</v>
      </c>
      <c r="K207" s="2" t="str" cm="1">
        <f t="array" ref="K207">_xlfn.IFS(Table1[[#This Row],[Exercise_Frequency(week)]]&lt;3, "Beginners (0–2 days)", Table1[[#This Row],[Exercise_Frequency(week)]]&lt;5, "Intermediate (3–4 days)", Table1[[#This Row],[Exercise_Frequency(week)]]&lt;8, "Advanced (5–7 days)")</f>
        <v>Beginners (0–2 days)</v>
      </c>
      <c r="L207" t="s">
        <v>23</v>
      </c>
      <c r="M207" s="2">
        <v>8</v>
      </c>
    </row>
    <row r="208" spans="1:13" x14ac:dyDescent="0.5">
      <c r="A208" t="s">
        <v>353</v>
      </c>
      <c r="B208" s="2">
        <v>31</v>
      </c>
      <c r="C208" s="2" t="str" cm="1">
        <f t="array" ref="C208">_xlfn.IFS(B208&lt;25, "Youth (16–24)", B208&lt;35, "Young Adults (25–34)", B208&lt;45, "Adults (35–44)", B208&lt;55, "Middle-aged (45–54)")</f>
        <v>Young Adults (25–34)</v>
      </c>
      <c r="D208" t="s">
        <v>11</v>
      </c>
      <c r="E208" s="1">
        <v>6.1</v>
      </c>
      <c r="F208" s="1" t="str" cm="1">
        <f t="array" ref="F208">_xlfn.IFS(E208&lt;3, "Low (0–3 hrs)", E208&lt;6, "Moderate (3–6 hrs)", E208&lt;8, "High (6–8 hrs)", E208&gt;=8, "Very High (8+ hrs)")</f>
        <v>High (6–8 hrs)</v>
      </c>
      <c r="G208" s="2">
        <v>6</v>
      </c>
      <c r="H208" s="2">
        <v>6</v>
      </c>
      <c r="I208" s="2">
        <v>2</v>
      </c>
      <c r="J208" s="2">
        <v>2</v>
      </c>
      <c r="K208" s="2" t="str" cm="1">
        <f t="array" ref="K208">_xlfn.IFS(Table1[[#This Row],[Exercise_Frequency(week)]]&lt;3, "Beginners (0–2 days)", Table1[[#This Row],[Exercise_Frequency(week)]]&lt;5, "Intermediate (3–4 days)", Table1[[#This Row],[Exercise_Frequency(week)]]&lt;8, "Advanced (5–7 days)")</f>
        <v>Beginners (0–2 days)</v>
      </c>
      <c r="L208" t="s">
        <v>19</v>
      </c>
      <c r="M208" s="2">
        <v>8</v>
      </c>
    </row>
    <row r="209" spans="1:13" x14ac:dyDescent="0.5">
      <c r="A209" t="s">
        <v>357</v>
      </c>
      <c r="B209" s="2">
        <v>42</v>
      </c>
      <c r="C209" s="2" t="str" cm="1">
        <f t="array" ref="C209">_xlfn.IFS(B209&lt;25, "Youth (16–24)", B209&lt;35, "Young Adults (25–34)", B209&lt;45, "Adults (35–44)", B209&lt;55, "Middle-aged (45–54)")</f>
        <v>Adults (35–44)</v>
      </c>
      <c r="D209" t="s">
        <v>11</v>
      </c>
      <c r="E209" s="1">
        <v>6.5</v>
      </c>
      <c r="F209" s="1" t="str" cm="1">
        <f t="array" ref="F209">_xlfn.IFS(E209&lt;3, "Low (0–3 hrs)", E209&lt;6, "Moderate (3–6 hrs)", E209&lt;8, "High (6–8 hrs)", E209&gt;=8, "Very High (8+ hrs)")</f>
        <v>High (6–8 hrs)</v>
      </c>
      <c r="G209" s="2">
        <v>5</v>
      </c>
      <c r="H209" s="2">
        <v>7</v>
      </c>
      <c r="I209" s="2">
        <v>1</v>
      </c>
      <c r="J209" s="2">
        <v>2</v>
      </c>
      <c r="K209" s="2" t="str" cm="1">
        <f t="array" ref="K209">_xlfn.IFS(Table1[[#This Row],[Exercise_Frequency(week)]]&lt;3, "Beginners (0–2 days)", Table1[[#This Row],[Exercise_Frequency(week)]]&lt;5, "Intermediate (3–4 days)", Table1[[#This Row],[Exercise_Frequency(week)]]&lt;8, "Advanced (5–7 days)")</f>
        <v>Beginners (0–2 days)</v>
      </c>
      <c r="L209" t="s">
        <v>23</v>
      </c>
      <c r="M209" s="2">
        <v>8</v>
      </c>
    </row>
    <row r="210" spans="1:13" x14ac:dyDescent="0.5">
      <c r="A210" t="s">
        <v>392</v>
      </c>
      <c r="B210" s="2">
        <v>39</v>
      </c>
      <c r="C210" s="2" t="str" cm="1">
        <f t="array" ref="C210">_xlfn.IFS(B210&lt;25, "Youth (16–24)", B210&lt;35, "Young Adults (25–34)", B210&lt;45, "Adults (35–44)", B210&lt;55, "Middle-aged (45–54)")</f>
        <v>Adults (35–44)</v>
      </c>
      <c r="D210" t="s">
        <v>16</v>
      </c>
      <c r="E210" s="1">
        <v>6.5</v>
      </c>
      <c r="F210" s="1" t="str" cm="1">
        <f t="array" ref="F210">_xlfn.IFS(E210&lt;3, "Low (0–3 hrs)", E210&lt;6, "Moderate (3–6 hrs)", E210&lt;8, "High (6–8 hrs)", E210&gt;=8, "Very High (8+ hrs)")</f>
        <v>High (6–8 hrs)</v>
      </c>
      <c r="G210" s="2">
        <v>5</v>
      </c>
      <c r="H210" s="2">
        <v>7</v>
      </c>
      <c r="I210" s="2">
        <v>2</v>
      </c>
      <c r="J210" s="2">
        <v>2</v>
      </c>
      <c r="K210" s="2" t="str" cm="1">
        <f t="array" ref="K210">_xlfn.IFS(Table1[[#This Row],[Exercise_Frequency(week)]]&lt;3, "Beginners (0–2 days)", Table1[[#This Row],[Exercise_Frequency(week)]]&lt;5, "Intermediate (3–4 days)", Table1[[#This Row],[Exercise_Frequency(week)]]&lt;8, "Advanced (5–7 days)")</f>
        <v>Beginners (0–2 days)</v>
      </c>
      <c r="L210" t="s">
        <v>23</v>
      </c>
      <c r="M210" s="2">
        <v>8</v>
      </c>
    </row>
    <row r="211" spans="1:13" x14ac:dyDescent="0.5">
      <c r="A211" t="s">
        <v>412</v>
      </c>
      <c r="B211" s="2">
        <v>29</v>
      </c>
      <c r="C211" s="2" t="str" cm="1">
        <f t="array" ref="C211">_xlfn.IFS(B211&lt;25, "Youth (16–24)", B211&lt;35, "Young Adults (25–34)", B211&lt;45, "Adults (35–44)", B211&lt;55, "Middle-aged (45–54)")</f>
        <v>Young Adults (25–34)</v>
      </c>
      <c r="D211" t="s">
        <v>16</v>
      </c>
      <c r="E211" s="1">
        <v>3.8</v>
      </c>
      <c r="F211" s="1" t="str" cm="1">
        <f t="array" ref="F211">_xlfn.IFS(E211&lt;3, "Low (0–3 hrs)", E211&lt;6, "Moderate (3–6 hrs)", E211&lt;8, "High (6–8 hrs)", E211&gt;=8, "Very High (8+ hrs)")</f>
        <v>Moderate (3–6 hrs)</v>
      </c>
      <c r="G211" s="2">
        <v>7</v>
      </c>
      <c r="H211" s="2">
        <v>6</v>
      </c>
      <c r="I211" s="2">
        <v>3</v>
      </c>
      <c r="J211" s="2">
        <v>2</v>
      </c>
      <c r="K211" s="2" t="str" cm="1">
        <f t="array" ref="K211">_xlfn.IFS(Table1[[#This Row],[Exercise_Frequency(week)]]&lt;3, "Beginners (0–2 days)", Table1[[#This Row],[Exercise_Frequency(week)]]&lt;5, "Intermediate (3–4 days)", Table1[[#This Row],[Exercise_Frequency(week)]]&lt;8, "Advanced (5–7 days)")</f>
        <v>Beginners (0–2 days)</v>
      </c>
      <c r="L211" t="s">
        <v>13</v>
      </c>
      <c r="M211" s="2">
        <v>8</v>
      </c>
    </row>
    <row r="212" spans="1:13" x14ac:dyDescent="0.5">
      <c r="A212" t="s">
        <v>433</v>
      </c>
      <c r="B212" s="2">
        <v>24</v>
      </c>
      <c r="C212" s="2" t="str" cm="1">
        <f t="array" ref="C212">_xlfn.IFS(B212&lt;25, "Youth (16–24)", B212&lt;35, "Young Adults (25–34)", B212&lt;45, "Adults (35–44)", B212&lt;55, "Middle-aged (45–54)")</f>
        <v>Youth (16–24)</v>
      </c>
      <c r="D212" t="s">
        <v>11</v>
      </c>
      <c r="E212" s="1">
        <v>5.9</v>
      </c>
      <c r="F212" s="1" t="str" cm="1">
        <f t="array" ref="F212">_xlfn.IFS(E212&lt;3, "Low (0–3 hrs)", E212&lt;6, "Moderate (3–6 hrs)", E212&lt;8, "High (6–8 hrs)", E212&gt;=8, "Very High (8+ hrs)")</f>
        <v>Moderate (3–6 hrs)</v>
      </c>
      <c r="G212" s="2">
        <v>7</v>
      </c>
      <c r="H212" s="2">
        <v>6</v>
      </c>
      <c r="I212" s="2">
        <v>1</v>
      </c>
      <c r="J212" s="2">
        <v>2</v>
      </c>
      <c r="K212" s="2" t="str" cm="1">
        <f t="array" ref="K212">_xlfn.IFS(Table1[[#This Row],[Exercise_Frequency(week)]]&lt;3, "Beginners (0–2 days)", Table1[[#This Row],[Exercise_Frequency(week)]]&lt;5, "Intermediate (3–4 days)", Table1[[#This Row],[Exercise_Frequency(week)]]&lt;8, "Advanced (5–7 days)")</f>
        <v>Beginners (0–2 days)</v>
      </c>
      <c r="L212" t="s">
        <v>23</v>
      </c>
      <c r="M212" s="2">
        <v>8</v>
      </c>
    </row>
    <row r="213" spans="1:13" x14ac:dyDescent="0.5">
      <c r="A213" t="s">
        <v>441</v>
      </c>
      <c r="B213" s="2">
        <v>37</v>
      </c>
      <c r="C213" s="2" t="str" cm="1">
        <f t="array" ref="C213">_xlfn.IFS(B213&lt;25, "Youth (16–24)", B213&lt;35, "Young Adults (25–34)", B213&lt;45, "Adults (35–44)", B213&lt;55, "Middle-aged (45–54)")</f>
        <v>Adults (35–44)</v>
      </c>
      <c r="D213" t="s">
        <v>16</v>
      </c>
      <c r="E213" s="1">
        <v>7.7</v>
      </c>
      <c r="F213" s="1" t="str" cm="1">
        <f t="array" ref="F213">_xlfn.IFS(E213&lt;3, "Low (0–3 hrs)", E213&lt;6, "Moderate (3–6 hrs)", E213&lt;8, "High (6–8 hrs)", E213&gt;=8, "Very High (8+ hrs)")</f>
        <v>High (6–8 hrs)</v>
      </c>
      <c r="G213" s="2">
        <v>4</v>
      </c>
      <c r="H213" s="2">
        <v>8</v>
      </c>
      <c r="I213" s="2">
        <v>5</v>
      </c>
      <c r="J213" s="2">
        <v>2</v>
      </c>
      <c r="K213" s="2" t="str" cm="1">
        <f t="array" ref="K213">_xlfn.IFS(Table1[[#This Row],[Exercise_Frequency(week)]]&lt;3, "Beginners (0–2 days)", Table1[[#This Row],[Exercise_Frequency(week)]]&lt;5, "Intermediate (3–4 days)", Table1[[#This Row],[Exercise_Frequency(week)]]&lt;8, "Advanced (5–7 days)")</f>
        <v>Beginners (0–2 days)</v>
      </c>
      <c r="L213" t="s">
        <v>13</v>
      </c>
      <c r="M213" s="2">
        <v>8</v>
      </c>
    </row>
    <row r="214" spans="1:13" x14ac:dyDescent="0.5">
      <c r="A214" t="s">
        <v>477</v>
      </c>
      <c r="B214" s="2">
        <v>16</v>
      </c>
      <c r="C214" s="2" t="str" cm="1">
        <f t="array" ref="C214">_xlfn.IFS(B214&lt;25, "Youth (16–24)", B214&lt;35, "Young Adults (25–34)", B214&lt;45, "Adults (35–44)", B214&lt;55, "Middle-aged (45–54)")</f>
        <v>Youth (16–24)</v>
      </c>
      <c r="D214" t="s">
        <v>16</v>
      </c>
      <c r="E214" s="1">
        <v>5.7</v>
      </c>
      <c r="F214" s="1" t="str" cm="1">
        <f t="array" ref="F214">_xlfn.IFS(E214&lt;3, "Low (0–3 hrs)", E214&lt;6, "Moderate (3–6 hrs)", E214&lt;8, "High (6–8 hrs)", E214&gt;=8, "Very High (8+ hrs)")</f>
        <v>Moderate (3–6 hrs)</v>
      </c>
      <c r="G214" s="2">
        <v>6</v>
      </c>
      <c r="H214" s="2">
        <v>6</v>
      </c>
      <c r="I214" s="2">
        <v>0</v>
      </c>
      <c r="J214" s="2">
        <v>2</v>
      </c>
      <c r="K214" s="2" t="str" cm="1">
        <f t="array" ref="K214">_xlfn.IFS(Table1[[#This Row],[Exercise_Frequency(week)]]&lt;3, "Beginners (0–2 days)", Table1[[#This Row],[Exercise_Frequency(week)]]&lt;5, "Intermediate (3–4 days)", Table1[[#This Row],[Exercise_Frequency(week)]]&lt;8, "Advanced (5–7 days)")</f>
        <v>Beginners (0–2 days)</v>
      </c>
      <c r="L214" t="s">
        <v>19</v>
      </c>
      <c r="M214" s="2">
        <v>8</v>
      </c>
    </row>
    <row r="215" spans="1:13" x14ac:dyDescent="0.5">
      <c r="A215" t="s">
        <v>482</v>
      </c>
      <c r="B215" s="2">
        <v>27</v>
      </c>
      <c r="C215" s="2" t="str" cm="1">
        <f t="array" ref="C215">_xlfn.IFS(B215&lt;25, "Youth (16–24)", B215&lt;35, "Young Adults (25–34)", B215&lt;45, "Adults (35–44)", B215&lt;55, "Middle-aged (45–54)")</f>
        <v>Young Adults (25–34)</v>
      </c>
      <c r="D215" t="s">
        <v>16</v>
      </c>
      <c r="E215" s="1">
        <v>5.6</v>
      </c>
      <c r="F215" s="1" t="str" cm="1">
        <f t="array" ref="F215">_xlfn.IFS(E215&lt;3, "Low (0–3 hrs)", E215&lt;6, "Moderate (3–6 hrs)", E215&lt;8, "High (6–8 hrs)", E215&gt;=8, "Very High (8+ hrs)")</f>
        <v>Moderate (3–6 hrs)</v>
      </c>
      <c r="G215" s="2">
        <v>7</v>
      </c>
      <c r="H215" s="2">
        <v>7</v>
      </c>
      <c r="I215" s="2">
        <v>5</v>
      </c>
      <c r="J215" s="2">
        <v>2</v>
      </c>
      <c r="K215" s="2" t="str" cm="1">
        <f t="array" ref="K215">_xlfn.IFS(Table1[[#This Row],[Exercise_Frequency(week)]]&lt;3, "Beginners (0–2 days)", Table1[[#This Row],[Exercise_Frequency(week)]]&lt;5, "Intermediate (3–4 days)", Table1[[#This Row],[Exercise_Frequency(week)]]&lt;8, "Advanced (5–7 days)")</f>
        <v>Beginners (0–2 days)</v>
      </c>
      <c r="L215" t="s">
        <v>12</v>
      </c>
      <c r="M215" s="2">
        <v>8</v>
      </c>
    </row>
    <row r="216" spans="1:13" x14ac:dyDescent="0.5">
      <c r="A216" t="s">
        <v>492</v>
      </c>
      <c r="B216" s="2">
        <v>41</v>
      </c>
      <c r="C216" s="2" t="str" cm="1">
        <f t="array" ref="C216">_xlfn.IFS(B216&lt;25, "Youth (16–24)", B216&lt;35, "Young Adults (25–34)", B216&lt;45, "Adults (35–44)", B216&lt;55, "Middle-aged (45–54)")</f>
        <v>Adults (35–44)</v>
      </c>
      <c r="D216" t="s">
        <v>11</v>
      </c>
      <c r="E216" s="1">
        <v>7.7</v>
      </c>
      <c r="F216" s="1" t="str" cm="1">
        <f t="array" ref="F216">_xlfn.IFS(E216&lt;3, "Low (0–3 hrs)", E216&lt;6, "Moderate (3–6 hrs)", E216&lt;8, "High (6–8 hrs)", E216&gt;=8, "Very High (8+ hrs)")</f>
        <v>High (6–8 hrs)</v>
      </c>
      <c r="G216" s="2">
        <v>5</v>
      </c>
      <c r="H216" s="2">
        <v>7</v>
      </c>
      <c r="I216" s="2">
        <v>2</v>
      </c>
      <c r="J216" s="2">
        <v>2</v>
      </c>
      <c r="K216" s="2" t="str" cm="1">
        <f t="array" ref="K216">_xlfn.IFS(Table1[[#This Row],[Exercise_Frequency(week)]]&lt;3, "Beginners (0–2 days)", Table1[[#This Row],[Exercise_Frequency(week)]]&lt;5, "Intermediate (3–4 days)", Table1[[#This Row],[Exercise_Frequency(week)]]&lt;8, "Advanced (5–7 days)")</f>
        <v>Beginners (0–2 days)</v>
      </c>
      <c r="L216" t="s">
        <v>13</v>
      </c>
      <c r="M216" s="2">
        <v>8</v>
      </c>
    </row>
    <row r="217" spans="1:13" x14ac:dyDescent="0.5">
      <c r="A217" t="s">
        <v>15</v>
      </c>
      <c r="B217" s="2">
        <v>36</v>
      </c>
      <c r="C217" s="2" t="str" cm="1">
        <f t="array" ref="C217">_xlfn.IFS(B217&lt;25, "Youth (16–24)", B217&lt;35, "Young Adults (25–34)", B217&lt;45, "Adults (35–44)", B217&lt;55, "Middle-aged (45–54)")</f>
        <v>Adults (35–44)</v>
      </c>
      <c r="D217" t="s">
        <v>16</v>
      </c>
      <c r="E217" s="1">
        <v>5.7</v>
      </c>
      <c r="F217" s="1" t="str" cm="1">
        <f t="array" ref="F217">_xlfn.IFS(E217&lt;3, "Low (0–3 hrs)", E217&lt;6, "Moderate (3–6 hrs)", E217&lt;8, "High (6–8 hrs)", E217&gt;=8, "Very High (8+ hrs)")</f>
        <v>Moderate (3–6 hrs)</v>
      </c>
      <c r="G217" s="2">
        <v>7</v>
      </c>
      <c r="H217" s="2">
        <v>8</v>
      </c>
      <c r="I217" s="2">
        <v>1</v>
      </c>
      <c r="J217" s="2">
        <v>1</v>
      </c>
      <c r="K217" s="2" t="str" cm="1">
        <f t="array" ref="K217">_xlfn.IFS(Table1[[#This Row],[Exercise_Frequency(week)]]&lt;3, "Beginners (0–2 days)", Table1[[#This Row],[Exercise_Frequency(week)]]&lt;5, "Intermediate (3–4 days)", Table1[[#This Row],[Exercise_Frequency(week)]]&lt;8, "Advanced (5–7 days)")</f>
        <v>Beginners (0–2 days)</v>
      </c>
      <c r="L217" t="s">
        <v>17</v>
      </c>
      <c r="M217" s="2">
        <v>8</v>
      </c>
    </row>
    <row r="218" spans="1:13" x14ac:dyDescent="0.5">
      <c r="A218" t="s">
        <v>18</v>
      </c>
      <c r="B218" s="2">
        <v>34</v>
      </c>
      <c r="C218" s="2" t="str" cm="1">
        <f t="array" ref="C218">_xlfn.IFS(B218&lt;25, "Youth (16–24)", B218&lt;35, "Young Adults (25–34)", B218&lt;45, "Adults (35–44)", B218&lt;55, "Middle-aged (45–54)")</f>
        <v>Young Adults (25–34)</v>
      </c>
      <c r="D218" t="s">
        <v>16</v>
      </c>
      <c r="E218" s="1">
        <v>7</v>
      </c>
      <c r="F218" s="1" t="str" cm="1">
        <f t="array" ref="F218">_xlfn.IFS(E218&lt;3, "Low (0–3 hrs)", E218&lt;6, "Moderate (3–6 hrs)", E218&lt;8, "High (6–8 hrs)", E218&gt;=8, "Very High (8+ hrs)")</f>
        <v>High (6–8 hrs)</v>
      </c>
      <c r="G218" s="2">
        <v>4</v>
      </c>
      <c r="H218" s="2">
        <v>7</v>
      </c>
      <c r="I218" s="2">
        <v>5</v>
      </c>
      <c r="J218" s="2">
        <v>1</v>
      </c>
      <c r="K218" s="2" t="str" cm="1">
        <f t="array" ref="K218">_xlfn.IFS(Table1[[#This Row],[Exercise_Frequency(week)]]&lt;3, "Beginners (0–2 days)", Table1[[#This Row],[Exercise_Frequency(week)]]&lt;5, "Intermediate (3–4 days)", Table1[[#This Row],[Exercise_Frequency(week)]]&lt;8, "Advanced (5–7 days)")</f>
        <v>Beginners (0–2 days)</v>
      </c>
      <c r="L218" t="s">
        <v>19</v>
      </c>
      <c r="M218" s="2">
        <v>8</v>
      </c>
    </row>
    <row r="219" spans="1:13" x14ac:dyDescent="0.5">
      <c r="A219" t="s">
        <v>27</v>
      </c>
      <c r="B219" s="2">
        <v>17</v>
      </c>
      <c r="C219" s="2" t="str" cm="1">
        <f t="array" ref="C219">_xlfn.IFS(B219&lt;25, "Youth (16–24)", B219&lt;35, "Young Adults (25–34)", B219&lt;45, "Adults (35–44)", B219&lt;55, "Middle-aged (45–54)")</f>
        <v>Youth (16–24)</v>
      </c>
      <c r="D219" t="s">
        <v>16</v>
      </c>
      <c r="E219" s="1">
        <v>7</v>
      </c>
      <c r="F219" s="1" t="str" cm="1">
        <f t="array" ref="F219">_xlfn.IFS(E219&lt;3, "Low (0–3 hrs)", E219&lt;6, "Moderate (3–6 hrs)", E219&lt;8, "High (6–8 hrs)", E219&gt;=8, "Very High (8+ hrs)")</f>
        <v>High (6–8 hrs)</v>
      </c>
      <c r="G219" s="2">
        <v>7</v>
      </c>
      <c r="H219" s="2">
        <v>10</v>
      </c>
      <c r="I219" s="2">
        <v>7</v>
      </c>
      <c r="J219" s="2">
        <v>1</v>
      </c>
      <c r="K219" s="2" t="str" cm="1">
        <f t="array" ref="K219">_xlfn.IFS(Table1[[#This Row],[Exercise_Frequency(week)]]&lt;3, "Beginners (0–2 days)", Table1[[#This Row],[Exercise_Frequency(week)]]&lt;5, "Intermediate (3–4 days)", Table1[[#This Row],[Exercise_Frequency(week)]]&lt;8, "Advanced (5–7 days)")</f>
        <v>Beginners (0–2 days)</v>
      </c>
      <c r="L219" t="s">
        <v>14</v>
      </c>
      <c r="M219" s="2">
        <v>8</v>
      </c>
    </row>
    <row r="220" spans="1:13" x14ac:dyDescent="0.5">
      <c r="A220" t="s">
        <v>53</v>
      </c>
      <c r="B220" s="2">
        <v>21</v>
      </c>
      <c r="C220" s="2" t="str" cm="1">
        <f t="array" ref="C220">_xlfn.IFS(B220&lt;25, "Youth (16–24)", B220&lt;35, "Young Adults (25–34)", B220&lt;45, "Adults (35–44)", B220&lt;55, "Middle-aged (45–54)")</f>
        <v>Youth (16–24)</v>
      </c>
      <c r="D220" t="s">
        <v>16</v>
      </c>
      <c r="E220" s="1">
        <v>3.9</v>
      </c>
      <c r="F220" s="1" t="str" cm="1">
        <f t="array" ref="F220">_xlfn.IFS(E220&lt;3, "Low (0–3 hrs)", E220&lt;6, "Moderate (3–6 hrs)", E220&lt;8, "High (6–8 hrs)", E220&gt;=8, "Very High (8+ hrs)")</f>
        <v>Moderate (3–6 hrs)</v>
      </c>
      <c r="G220" s="2">
        <v>6</v>
      </c>
      <c r="H220" s="2">
        <v>6</v>
      </c>
      <c r="I220" s="2">
        <v>4</v>
      </c>
      <c r="J220" s="2">
        <v>1</v>
      </c>
      <c r="K220" s="2" t="str" cm="1">
        <f t="array" ref="K220">_xlfn.IFS(Table1[[#This Row],[Exercise_Frequency(week)]]&lt;3, "Beginners (0–2 days)", Table1[[#This Row],[Exercise_Frequency(week)]]&lt;5, "Intermediate (3–4 days)", Table1[[#This Row],[Exercise_Frequency(week)]]&lt;8, "Advanced (5–7 days)")</f>
        <v>Beginners (0–2 days)</v>
      </c>
      <c r="L220" t="s">
        <v>19</v>
      </c>
      <c r="M220" s="2">
        <v>8</v>
      </c>
    </row>
    <row r="221" spans="1:13" x14ac:dyDescent="0.5">
      <c r="A221" t="s">
        <v>55</v>
      </c>
      <c r="B221" s="2">
        <v>44</v>
      </c>
      <c r="C221" s="2" t="str" cm="1">
        <f t="array" ref="C221">_xlfn.IFS(B221&lt;25, "Youth (16–24)", B221&lt;35, "Young Adults (25–34)", B221&lt;45, "Adults (35–44)", B221&lt;55, "Middle-aged (45–54)")</f>
        <v>Adults (35–44)</v>
      </c>
      <c r="D221" t="s">
        <v>16</v>
      </c>
      <c r="E221" s="1">
        <v>5</v>
      </c>
      <c r="F221" s="1" t="str" cm="1">
        <f t="array" ref="F221">_xlfn.IFS(E221&lt;3, "Low (0–3 hrs)", E221&lt;6, "Moderate (3–6 hrs)", E221&lt;8, "High (6–8 hrs)", E221&gt;=8, "Very High (8+ hrs)")</f>
        <v>Moderate (3–6 hrs)</v>
      </c>
      <c r="G221" s="2">
        <v>4</v>
      </c>
      <c r="H221" s="2">
        <v>7</v>
      </c>
      <c r="I221" s="2">
        <v>2</v>
      </c>
      <c r="J221" s="2">
        <v>1</v>
      </c>
      <c r="K221" s="2" t="str" cm="1">
        <f t="array" ref="K221">_xlfn.IFS(Table1[[#This Row],[Exercise_Frequency(week)]]&lt;3, "Beginners (0–2 days)", Table1[[#This Row],[Exercise_Frequency(week)]]&lt;5, "Intermediate (3–4 days)", Table1[[#This Row],[Exercise_Frequency(week)]]&lt;8, "Advanced (5–7 days)")</f>
        <v>Beginners (0–2 days)</v>
      </c>
      <c r="L221" t="s">
        <v>12</v>
      </c>
      <c r="M221" s="2">
        <v>8</v>
      </c>
    </row>
    <row r="222" spans="1:13" x14ac:dyDescent="0.5">
      <c r="A222" t="s">
        <v>89</v>
      </c>
      <c r="B222" s="2">
        <v>23</v>
      </c>
      <c r="C222" s="2" t="str" cm="1">
        <f t="array" ref="C222">_xlfn.IFS(B222&lt;25, "Youth (16–24)", B222&lt;35, "Young Adults (25–34)", B222&lt;45, "Adults (35–44)", B222&lt;55, "Middle-aged (45–54)")</f>
        <v>Youth (16–24)</v>
      </c>
      <c r="D222" t="s">
        <v>16</v>
      </c>
      <c r="E222" s="1">
        <v>6.6</v>
      </c>
      <c r="F222" s="1" t="str" cm="1">
        <f t="array" ref="F222">_xlfn.IFS(E222&lt;3, "Low (0–3 hrs)", E222&lt;6, "Moderate (3–6 hrs)", E222&lt;8, "High (6–8 hrs)", E222&gt;=8, "Very High (8+ hrs)")</f>
        <v>High (6–8 hrs)</v>
      </c>
      <c r="G222" s="2">
        <v>6</v>
      </c>
      <c r="H222" s="2">
        <v>8</v>
      </c>
      <c r="I222" s="2">
        <v>5</v>
      </c>
      <c r="J222" s="2">
        <v>1</v>
      </c>
      <c r="K222" s="2" t="str" cm="1">
        <f t="array" ref="K222">_xlfn.IFS(Table1[[#This Row],[Exercise_Frequency(week)]]&lt;3, "Beginners (0–2 days)", Table1[[#This Row],[Exercise_Frequency(week)]]&lt;5, "Intermediate (3–4 days)", Table1[[#This Row],[Exercise_Frequency(week)]]&lt;8, "Advanced (5–7 days)")</f>
        <v>Beginners (0–2 days)</v>
      </c>
      <c r="L222" t="s">
        <v>17</v>
      </c>
      <c r="M222" s="2">
        <v>8</v>
      </c>
    </row>
    <row r="223" spans="1:13" x14ac:dyDescent="0.5">
      <c r="A223" t="s">
        <v>100</v>
      </c>
      <c r="B223" s="2">
        <v>20</v>
      </c>
      <c r="C223" s="2" t="str" cm="1">
        <f t="array" ref="C223">_xlfn.IFS(B223&lt;25, "Youth (16–24)", B223&lt;35, "Young Adults (25–34)", B223&lt;45, "Adults (35–44)", B223&lt;55, "Middle-aged (45–54)")</f>
        <v>Youth (16–24)</v>
      </c>
      <c r="D223" t="s">
        <v>11</v>
      </c>
      <c r="E223" s="1">
        <v>3.6</v>
      </c>
      <c r="F223" s="1" t="str" cm="1">
        <f t="array" ref="F223">_xlfn.IFS(E223&lt;3, "Low (0–3 hrs)", E223&lt;6, "Moderate (3–6 hrs)", E223&lt;8, "High (6–8 hrs)", E223&gt;=8, "Very High (8+ hrs)")</f>
        <v>Moderate (3–6 hrs)</v>
      </c>
      <c r="G223" s="2">
        <v>7</v>
      </c>
      <c r="H223" s="2">
        <v>7</v>
      </c>
      <c r="I223" s="2">
        <v>2</v>
      </c>
      <c r="J223" s="2">
        <v>1</v>
      </c>
      <c r="K223" s="2" t="str" cm="1">
        <f t="array" ref="K223">_xlfn.IFS(Table1[[#This Row],[Exercise_Frequency(week)]]&lt;3, "Beginners (0–2 days)", Table1[[#This Row],[Exercise_Frequency(week)]]&lt;5, "Intermediate (3–4 days)", Table1[[#This Row],[Exercise_Frequency(week)]]&lt;8, "Advanced (5–7 days)")</f>
        <v>Beginners (0–2 days)</v>
      </c>
      <c r="L223" t="s">
        <v>19</v>
      </c>
      <c r="M223" s="2">
        <v>8</v>
      </c>
    </row>
    <row r="224" spans="1:13" x14ac:dyDescent="0.5">
      <c r="A224" t="s">
        <v>141</v>
      </c>
      <c r="B224" s="2">
        <v>30</v>
      </c>
      <c r="C224" s="2" t="str" cm="1">
        <f t="array" ref="C224">_xlfn.IFS(B224&lt;25, "Youth (16–24)", B224&lt;35, "Young Adults (25–34)", B224&lt;45, "Adults (35–44)", B224&lt;55, "Middle-aged (45–54)")</f>
        <v>Young Adults (25–34)</v>
      </c>
      <c r="D224" t="s">
        <v>16</v>
      </c>
      <c r="E224" s="1">
        <v>7.7</v>
      </c>
      <c r="F224" s="1" t="str" cm="1">
        <f t="array" ref="F224">_xlfn.IFS(E224&lt;3, "Low (0–3 hrs)", E224&lt;6, "Moderate (3–6 hrs)", E224&lt;8, "High (6–8 hrs)", E224&gt;=8, "Very High (8+ hrs)")</f>
        <v>High (6–8 hrs)</v>
      </c>
      <c r="G224" s="2">
        <v>4</v>
      </c>
      <c r="H224" s="2">
        <v>10</v>
      </c>
      <c r="I224" s="2">
        <v>2</v>
      </c>
      <c r="J224" s="2">
        <v>1</v>
      </c>
      <c r="K224" s="2" t="str" cm="1">
        <f t="array" ref="K224">_xlfn.IFS(Table1[[#This Row],[Exercise_Frequency(week)]]&lt;3, "Beginners (0–2 days)", Table1[[#This Row],[Exercise_Frequency(week)]]&lt;5, "Intermediate (3–4 days)", Table1[[#This Row],[Exercise_Frequency(week)]]&lt;8, "Advanced (5–7 days)")</f>
        <v>Beginners (0–2 days)</v>
      </c>
      <c r="L224" t="s">
        <v>19</v>
      </c>
      <c r="M224" s="2">
        <v>8</v>
      </c>
    </row>
    <row r="225" spans="1:13" x14ac:dyDescent="0.5">
      <c r="A225" t="s">
        <v>150</v>
      </c>
      <c r="B225" s="2">
        <v>17</v>
      </c>
      <c r="C225" s="2" t="str" cm="1">
        <f t="array" ref="C225">_xlfn.IFS(B225&lt;25, "Youth (16–24)", B225&lt;35, "Young Adults (25–34)", B225&lt;45, "Adults (35–44)", B225&lt;55, "Middle-aged (45–54)")</f>
        <v>Youth (16–24)</v>
      </c>
      <c r="D225" t="s">
        <v>11</v>
      </c>
      <c r="E225" s="1">
        <v>7.2</v>
      </c>
      <c r="F225" s="1" t="str" cm="1">
        <f t="array" ref="F225">_xlfn.IFS(E225&lt;3, "Low (0–3 hrs)", E225&lt;6, "Moderate (3–6 hrs)", E225&lt;8, "High (6–8 hrs)", E225&gt;=8, "Very High (8+ hrs)")</f>
        <v>High (6–8 hrs)</v>
      </c>
      <c r="G225" s="2">
        <v>7</v>
      </c>
      <c r="H225" s="2">
        <v>8</v>
      </c>
      <c r="I225" s="2">
        <v>3</v>
      </c>
      <c r="J225" s="2">
        <v>1</v>
      </c>
      <c r="K225" s="2" t="str" cm="1">
        <f t="array" ref="K225">_xlfn.IFS(Table1[[#This Row],[Exercise_Frequency(week)]]&lt;3, "Beginners (0–2 days)", Table1[[#This Row],[Exercise_Frequency(week)]]&lt;5, "Intermediate (3–4 days)", Table1[[#This Row],[Exercise_Frequency(week)]]&lt;8, "Advanced (5–7 days)")</f>
        <v>Beginners (0–2 days)</v>
      </c>
      <c r="L225" t="s">
        <v>23</v>
      </c>
      <c r="M225" s="2">
        <v>8</v>
      </c>
    </row>
    <row r="226" spans="1:13" x14ac:dyDescent="0.5">
      <c r="A226" t="s">
        <v>168</v>
      </c>
      <c r="B226" s="2">
        <v>21</v>
      </c>
      <c r="C226" s="2" t="str" cm="1">
        <f t="array" ref="C226">_xlfn.IFS(B226&lt;25, "Youth (16–24)", B226&lt;35, "Young Adults (25–34)", B226&lt;45, "Adults (35–44)", B226&lt;55, "Middle-aged (45–54)")</f>
        <v>Youth (16–24)</v>
      </c>
      <c r="D226" t="s">
        <v>16</v>
      </c>
      <c r="E226" s="1">
        <v>3.4</v>
      </c>
      <c r="F226" s="1" t="str" cm="1">
        <f t="array" ref="F226">_xlfn.IFS(E226&lt;3, "Low (0–3 hrs)", E226&lt;6, "Moderate (3–6 hrs)", E226&lt;8, "High (6–8 hrs)", E226&gt;=8, "Very High (8+ hrs)")</f>
        <v>Moderate (3–6 hrs)</v>
      </c>
      <c r="G226" s="2">
        <v>9</v>
      </c>
      <c r="H226" s="2">
        <v>7</v>
      </c>
      <c r="I226" s="2">
        <v>5</v>
      </c>
      <c r="J226" s="2">
        <v>1</v>
      </c>
      <c r="K226" s="2" t="str" cm="1">
        <f t="array" ref="K226">_xlfn.IFS(Table1[[#This Row],[Exercise_Frequency(week)]]&lt;3, "Beginners (0–2 days)", Table1[[#This Row],[Exercise_Frequency(week)]]&lt;5, "Intermediate (3–4 days)", Table1[[#This Row],[Exercise_Frequency(week)]]&lt;8, "Advanced (5–7 days)")</f>
        <v>Beginners (0–2 days)</v>
      </c>
      <c r="L226" t="s">
        <v>14</v>
      </c>
      <c r="M226" s="2">
        <v>8</v>
      </c>
    </row>
    <row r="227" spans="1:13" x14ac:dyDescent="0.5">
      <c r="A227" t="s">
        <v>322</v>
      </c>
      <c r="B227" s="2">
        <v>37</v>
      </c>
      <c r="C227" s="2" t="str" cm="1">
        <f t="array" ref="C227">_xlfn.IFS(B227&lt;25, "Youth (16–24)", B227&lt;35, "Young Adults (25–34)", B227&lt;45, "Adults (35–44)", B227&lt;55, "Middle-aged (45–54)")</f>
        <v>Adults (35–44)</v>
      </c>
      <c r="D227" t="s">
        <v>11</v>
      </c>
      <c r="E227" s="1">
        <v>5.3</v>
      </c>
      <c r="F227" s="1" t="str" cm="1">
        <f t="array" ref="F227">_xlfn.IFS(E227&lt;3, "Low (0–3 hrs)", E227&lt;6, "Moderate (3–6 hrs)", E227&lt;8, "High (6–8 hrs)", E227&gt;=8, "Very High (8+ hrs)")</f>
        <v>Moderate (3–6 hrs)</v>
      </c>
      <c r="G227" s="2">
        <v>7</v>
      </c>
      <c r="H227" s="2">
        <v>7</v>
      </c>
      <c r="I227" s="2">
        <v>5</v>
      </c>
      <c r="J227" s="2">
        <v>1</v>
      </c>
      <c r="K227" s="2" t="str" cm="1">
        <f t="array" ref="K227">_xlfn.IFS(Table1[[#This Row],[Exercise_Frequency(week)]]&lt;3, "Beginners (0–2 days)", Table1[[#This Row],[Exercise_Frequency(week)]]&lt;5, "Intermediate (3–4 days)", Table1[[#This Row],[Exercise_Frequency(week)]]&lt;8, "Advanced (5–7 days)")</f>
        <v>Beginners (0–2 days)</v>
      </c>
      <c r="L227" t="s">
        <v>17</v>
      </c>
      <c r="M227" s="2">
        <v>8</v>
      </c>
    </row>
    <row r="228" spans="1:13" x14ac:dyDescent="0.5">
      <c r="A228" t="s">
        <v>342</v>
      </c>
      <c r="B228" s="2">
        <v>38</v>
      </c>
      <c r="C228" s="2" t="str" cm="1">
        <f t="array" ref="C228">_xlfn.IFS(B228&lt;25, "Youth (16–24)", B228&lt;35, "Young Adults (25–34)", B228&lt;45, "Adults (35–44)", B228&lt;55, "Middle-aged (45–54)")</f>
        <v>Adults (35–44)</v>
      </c>
      <c r="D228" t="s">
        <v>16</v>
      </c>
      <c r="E228" s="1">
        <v>5.9</v>
      </c>
      <c r="F228" s="1" t="str" cm="1">
        <f t="array" ref="F228">_xlfn.IFS(E228&lt;3, "Low (0–3 hrs)", E228&lt;6, "Moderate (3–6 hrs)", E228&lt;8, "High (6–8 hrs)", E228&gt;=8, "Very High (8+ hrs)")</f>
        <v>Moderate (3–6 hrs)</v>
      </c>
      <c r="G228" s="2">
        <v>7</v>
      </c>
      <c r="H228" s="2">
        <v>7</v>
      </c>
      <c r="I228" s="2">
        <v>1</v>
      </c>
      <c r="J228" s="2">
        <v>1</v>
      </c>
      <c r="K228" s="2" t="str" cm="1">
        <f t="array" ref="K228">_xlfn.IFS(Table1[[#This Row],[Exercise_Frequency(week)]]&lt;3, "Beginners (0–2 days)", Table1[[#This Row],[Exercise_Frequency(week)]]&lt;5, "Intermediate (3–4 days)", Table1[[#This Row],[Exercise_Frequency(week)]]&lt;8, "Advanced (5–7 days)")</f>
        <v>Beginners (0–2 days)</v>
      </c>
      <c r="L228" t="s">
        <v>23</v>
      </c>
      <c r="M228" s="2">
        <v>8</v>
      </c>
    </row>
    <row r="229" spans="1:13" x14ac:dyDescent="0.5">
      <c r="A229" t="s">
        <v>370</v>
      </c>
      <c r="B229" s="2">
        <v>46</v>
      </c>
      <c r="C229" s="2" t="str" cm="1">
        <f t="array" ref="C229">_xlfn.IFS(B229&lt;25, "Youth (16–24)", B229&lt;35, "Young Adults (25–34)", B229&lt;45, "Adults (35–44)", B229&lt;55, "Middle-aged (45–54)")</f>
        <v>Middle-aged (45–54)</v>
      </c>
      <c r="D229" t="s">
        <v>11</v>
      </c>
      <c r="E229" s="1">
        <v>4.4000000000000004</v>
      </c>
      <c r="F229" s="1" t="str" cm="1">
        <f t="array" ref="F229">_xlfn.IFS(E229&lt;3, "Low (0–3 hrs)", E229&lt;6, "Moderate (3–6 hrs)", E229&lt;8, "High (6–8 hrs)", E229&gt;=8, "Very High (8+ hrs)")</f>
        <v>Moderate (3–6 hrs)</v>
      </c>
      <c r="G229" s="2">
        <v>7</v>
      </c>
      <c r="H229" s="2">
        <v>7</v>
      </c>
      <c r="I229" s="2">
        <v>5</v>
      </c>
      <c r="J229" s="2">
        <v>1</v>
      </c>
      <c r="K229" s="2" t="str" cm="1">
        <f t="array" ref="K229">_xlfn.IFS(Table1[[#This Row],[Exercise_Frequency(week)]]&lt;3, "Beginners (0–2 days)", Table1[[#This Row],[Exercise_Frequency(week)]]&lt;5, "Intermediate (3–4 days)", Table1[[#This Row],[Exercise_Frequency(week)]]&lt;8, "Advanced (5–7 days)")</f>
        <v>Beginners (0–2 days)</v>
      </c>
      <c r="L229" t="s">
        <v>14</v>
      </c>
      <c r="M229" s="2">
        <v>8</v>
      </c>
    </row>
    <row r="230" spans="1:13" x14ac:dyDescent="0.5">
      <c r="A230" t="s">
        <v>421</v>
      </c>
      <c r="B230" s="2">
        <v>29</v>
      </c>
      <c r="C230" s="2" t="str" cm="1">
        <f t="array" ref="C230">_xlfn.IFS(B230&lt;25, "Youth (16–24)", B230&lt;35, "Young Adults (25–34)", B230&lt;45, "Adults (35–44)", B230&lt;55, "Middle-aged (45–54)")</f>
        <v>Young Adults (25–34)</v>
      </c>
      <c r="D230" t="s">
        <v>16</v>
      </c>
      <c r="E230" s="1">
        <v>6.2</v>
      </c>
      <c r="F230" s="1" t="str" cm="1">
        <f t="array" ref="F230">_xlfn.IFS(E230&lt;3, "Low (0–3 hrs)", E230&lt;6, "Moderate (3–6 hrs)", E230&lt;8, "High (6–8 hrs)", E230&gt;=8, "Very High (8+ hrs)")</f>
        <v>High (6–8 hrs)</v>
      </c>
      <c r="G230" s="2">
        <v>6</v>
      </c>
      <c r="H230" s="2">
        <v>9</v>
      </c>
      <c r="I230" s="2">
        <v>2</v>
      </c>
      <c r="J230" s="2">
        <v>1</v>
      </c>
      <c r="K230" s="2" t="str" cm="1">
        <f t="array" ref="K230">_xlfn.IFS(Table1[[#This Row],[Exercise_Frequency(week)]]&lt;3, "Beginners (0–2 days)", Table1[[#This Row],[Exercise_Frequency(week)]]&lt;5, "Intermediate (3–4 days)", Table1[[#This Row],[Exercise_Frequency(week)]]&lt;8, "Advanced (5–7 days)")</f>
        <v>Beginners (0–2 days)</v>
      </c>
      <c r="L230" t="s">
        <v>14</v>
      </c>
      <c r="M230" s="2">
        <v>8</v>
      </c>
    </row>
    <row r="231" spans="1:13" x14ac:dyDescent="0.5">
      <c r="A231" t="s">
        <v>28</v>
      </c>
      <c r="B231" s="2">
        <v>39</v>
      </c>
      <c r="C231" s="2" t="str" cm="1">
        <f t="array" ref="C231">_xlfn.IFS(B231&lt;25, "Youth (16–24)", B231&lt;35, "Young Adults (25–34)", B231&lt;45, "Adults (35–44)", B231&lt;55, "Middle-aged (45–54)")</f>
        <v>Adults (35–44)</v>
      </c>
      <c r="D231" t="s">
        <v>16</v>
      </c>
      <c r="E231" s="1">
        <v>5.7</v>
      </c>
      <c r="F231" s="1" t="str" cm="1">
        <f t="array" ref="F231">_xlfn.IFS(E231&lt;3, "Low (0–3 hrs)", E231&lt;6, "Moderate (3–6 hrs)", E231&lt;8, "High (6–8 hrs)", E231&gt;=8, "Very High (8+ hrs)")</f>
        <v>Moderate (3–6 hrs)</v>
      </c>
      <c r="G231" s="2">
        <v>5</v>
      </c>
      <c r="H231" s="2">
        <v>7</v>
      </c>
      <c r="I231" s="2">
        <v>4</v>
      </c>
      <c r="J231" s="2">
        <v>0</v>
      </c>
      <c r="K231" s="2" t="str" cm="1">
        <f t="array" ref="K231">_xlfn.IFS(Table1[[#This Row],[Exercise_Frequency(week)]]&lt;3, "Beginners (0–2 days)", Table1[[#This Row],[Exercise_Frequency(week)]]&lt;5, "Intermediate (3–4 days)", Table1[[#This Row],[Exercise_Frequency(week)]]&lt;8, "Advanced (5–7 days)")</f>
        <v>Beginners (0–2 days)</v>
      </c>
      <c r="L231" t="s">
        <v>12</v>
      </c>
      <c r="M231" s="2">
        <v>8</v>
      </c>
    </row>
    <row r="232" spans="1:13" x14ac:dyDescent="0.5">
      <c r="A232" t="s">
        <v>170</v>
      </c>
      <c r="B232" s="2">
        <v>26</v>
      </c>
      <c r="C232" s="2" t="str" cm="1">
        <f t="array" ref="C232">_xlfn.IFS(B232&lt;25, "Youth (16–24)", B232&lt;35, "Young Adults (25–34)", B232&lt;45, "Adults (35–44)", B232&lt;55, "Middle-aged (45–54)")</f>
        <v>Young Adults (25–34)</v>
      </c>
      <c r="D232" t="s">
        <v>11</v>
      </c>
      <c r="E232" s="1">
        <v>6.6</v>
      </c>
      <c r="F232" s="1" t="str" cm="1">
        <f t="array" ref="F232">_xlfn.IFS(E232&lt;3, "Low (0–3 hrs)", E232&lt;6, "Moderate (3–6 hrs)", E232&lt;8, "High (6–8 hrs)", E232&gt;=8, "Very High (8+ hrs)")</f>
        <v>High (6–8 hrs)</v>
      </c>
      <c r="G232" s="2">
        <v>6</v>
      </c>
      <c r="H232" s="2">
        <v>8</v>
      </c>
      <c r="I232" s="2">
        <v>4</v>
      </c>
      <c r="J232" s="2">
        <v>0</v>
      </c>
      <c r="K232" s="2" t="str" cm="1">
        <f t="array" ref="K232">_xlfn.IFS(Table1[[#This Row],[Exercise_Frequency(week)]]&lt;3, "Beginners (0–2 days)", Table1[[#This Row],[Exercise_Frequency(week)]]&lt;5, "Intermediate (3–4 days)", Table1[[#This Row],[Exercise_Frequency(week)]]&lt;8, "Advanced (5–7 days)")</f>
        <v>Beginners (0–2 days)</v>
      </c>
      <c r="L232" t="s">
        <v>12</v>
      </c>
      <c r="M232" s="2">
        <v>8</v>
      </c>
    </row>
    <row r="233" spans="1:13" x14ac:dyDescent="0.5">
      <c r="A233" t="s">
        <v>213</v>
      </c>
      <c r="B233" s="2">
        <v>33</v>
      </c>
      <c r="C233" s="2" t="str" cm="1">
        <f t="array" ref="C233">_xlfn.IFS(B233&lt;25, "Youth (16–24)", B233&lt;35, "Young Adults (25–34)", B233&lt;45, "Adults (35–44)", B233&lt;55, "Middle-aged (45–54)")</f>
        <v>Young Adults (25–34)</v>
      </c>
      <c r="D233" t="s">
        <v>16</v>
      </c>
      <c r="E233" s="1">
        <v>5</v>
      </c>
      <c r="F233" s="1" t="str" cm="1">
        <f t="array" ref="F233">_xlfn.IFS(E233&lt;3, "Low (0–3 hrs)", E233&lt;6, "Moderate (3–6 hrs)", E233&lt;8, "High (6–8 hrs)", E233&gt;=8, "Very High (8+ hrs)")</f>
        <v>Moderate (3–6 hrs)</v>
      </c>
      <c r="G233" s="2">
        <v>6</v>
      </c>
      <c r="H233" s="2">
        <v>6</v>
      </c>
      <c r="I233" s="2">
        <v>0</v>
      </c>
      <c r="J233" s="2">
        <v>0</v>
      </c>
      <c r="K233" s="2" t="str" cm="1">
        <f t="array" ref="K233">_xlfn.IFS(Table1[[#This Row],[Exercise_Frequency(week)]]&lt;3, "Beginners (0–2 days)", Table1[[#This Row],[Exercise_Frequency(week)]]&lt;5, "Intermediate (3–4 days)", Table1[[#This Row],[Exercise_Frequency(week)]]&lt;8, "Advanced (5–7 days)")</f>
        <v>Beginners (0–2 days)</v>
      </c>
      <c r="L233" t="s">
        <v>19</v>
      </c>
      <c r="M233" s="2">
        <v>8</v>
      </c>
    </row>
    <row r="234" spans="1:13" x14ac:dyDescent="0.5">
      <c r="A234" t="s">
        <v>233</v>
      </c>
      <c r="B234" s="2">
        <v>42</v>
      </c>
      <c r="C234" s="2" t="str" cm="1">
        <f t="array" ref="C234">_xlfn.IFS(B234&lt;25, "Youth (16–24)", B234&lt;35, "Young Adults (25–34)", B234&lt;45, "Adults (35–44)", B234&lt;55, "Middle-aged (45–54)")</f>
        <v>Adults (35–44)</v>
      </c>
      <c r="D234" t="s">
        <v>11</v>
      </c>
      <c r="E234" s="1">
        <v>6.1</v>
      </c>
      <c r="F234" s="1" t="str" cm="1">
        <f t="array" ref="F234">_xlfn.IFS(E234&lt;3, "Low (0–3 hrs)", E234&lt;6, "Moderate (3–6 hrs)", E234&lt;8, "High (6–8 hrs)", E234&gt;=8, "Very High (8+ hrs)")</f>
        <v>High (6–8 hrs)</v>
      </c>
      <c r="G234" s="2">
        <v>7</v>
      </c>
      <c r="H234" s="2">
        <v>6</v>
      </c>
      <c r="I234" s="2">
        <v>4</v>
      </c>
      <c r="J234" s="2">
        <v>0</v>
      </c>
      <c r="K234" s="2" t="str" cm="1">
        <f t="array" ref="K234">_xlfn.IFS(Table1[[#This Row],[Exercise_Frequency(week)]]&lt;3, "Beginners (0–2 days)", Table1[[#This Row],[Exercise_Frequency(week)]]&lt;5, "Intermediate (3–4 days)", Table1[[#This Row],[Exercise_Frequency(week)]]&lt;8, "Advanced (5–7 days)")</f>
        <v>Beginners (0–2 days)</v>
      </c>
      <c r="L234" t="s">
        <v>19</v>
      </c>
      <c r="M234" s="2">
        <v>8</v>
      </c>
    </row>
    <row r="235" spans="1:13" x14ac:dyDescent="0.5">
      <c r="A235" t="s">
        <v>340</v>
      </c>
      <c r="B235" s="2">
        <v>48</v>
      </c>
      <c r="C235" s="2" t="str" cm="1">
        <f t="array" ref="C235">_xlfn.IFS(B235&lt;25, "Youth (16–24)", B235&lt;35, "Young Adults (25–34)", B235&lt;45, "Adults (35–44)", B235&lt;55, "Middle-aged (45–54)")</f>
        <v>Middle-aged (45–54)</v>
      </c>
      <c r="D235" t="s">
        <v>11</v>
      </c>
      <c r="E235" s="1">
        <v>4.7</v>
      </c>
      <c r="F235" s="1" t="str" cm="1">
        <f t="array" ref="F235">_xlfn.IFS(E235&lt;3, "Low (0–3 hrs)", E235&lt;6, "Moderate (3–6 hrs)", E235&lt;8, "High (6–8 hrs)", E235&gt;=8, "Very High (8+ hrs)")</f>
        <v>Moderate (3–6 hrs)</v>
      </c>
      <c r="G235" s="2">
        <v>6</v>
      </c>
      <c r="H235" s="2">
        <v>7</v>
      </c>
      <c r="I235" s="2">
        <v>3</v>
      </c>
      <c r="J235" s="2">
        <v>0</v>
      </c>
      <c r="K235" s="2" t="str" cm="1">
        <f t="array" ref="K235">_xlfn.IFS(Table1[[#This Row],[Exercise_Frequency(week)]]&lt;3, "Beginners (0–2 days)", Table1[[#This Row],[Exercise_Frequency(week)]]&lt;5, "Intermediate (3–4 days)", Table1[[#This Row],[Exercise_Frequency(week)]]&lt;8, "Advanced (5–7 days)")</f>
        <v>Beginners (0–2 days)</v>
      </c>
      <c r="L235" t="s">
        <v>23</v>
      </c>
      <c r="M235" s="2">
        <v>8</v>
      </c>
    </row>
    <row r="236" spans="1:13" x14ac:dyDescent="0.5">
      <c r="A236" t="s">
        <v>418</v>
      </c>
      <c r="B236" s="2">
        <v>36</v>
      </c>
      <c r="C236" s="2" t="str" cm="1">
        <f t="array" ref="C236">_xlfn.IFS(B236&lt;25, "Youth (16–24)", B236&lt;35, "Young Adults (25–34)", B236&lt;45, "Adults (35–44)", B236&lt;55, "Middle-aged (45–54)")</f>
        <v>Adults (35–44)</v>
      </c>
      <c r="D236" t="s">
        <v>11</v>
      </c>
      <c r="E236" s="1">
        <v>7.7</v>
      </c>
      <c r="F236" s="1" t="str" cm="1">
        <f t="array" ref="F236">_xlfn.IFS(E236&lt;3, "Low (0–3 hrs)", E236&lt;6, "Moderate (3–6 hrs)", E236&lt;8, "High (6–8 hrs)", E236&gt;=8, "Very High (8+ hrs)")</f>
        <v>High (6–8 hrs)</v>
      </c>
      <c r="G236" s="2">
        <v>5</v>
      </c>
      <c r="H236" s="2">
        <v>8</v>
      </c>
      <c r="I236" s="2">
        <v>4</v>
      </c>
      <c r="J236" s="2">
        <v>0</v>
      </c>
      <c r="K236" s="2" t="str" cm="1">
        <f t="array" ref="K236">_xlfn.IFS(Table1[[#This Row],[Exercise_Frequency(week)]]&lt;3, "Beginners (0–2 days)", Table1[[#This Row],[Exercise_Frequency(week)]]&lt;5, "Intermediate (3–4 days)", Table1[[#This Row],[Exercise_Frequency(week)]]&lt;8, "Advanced (5–7 days)")</f>
        <v>Beginners (0–2 days)</v>
      </c>
      <c r="L236" t="s">
        <v>13</v>
      </c>
      <c r="M236" s="2">
        <v>8</v>
      </c>
    </row>
    <row r="237" spans="1:13" x14ac:dyDescent="0.5">
      <c r="A237" t="s">
        <v>440</v>
      </c>
      <c r="B237" s="2">
        <v>16</v>
      </c>
      <c r="C237" s="2" t="str" cm="1">
        <f t="array" ref="C237">_xlfn.IFS(B237&lt;25, "Youth (16–24)", B237&lt;35, "Young Adults (25–34)", B237&lt;45, "Adults (35–44)", B237&lt;55, "Middle-aged (45–54)")</f>
        <v>Youth (16–24)</v>
      </c>
      <c r="D237" t="s">
        <v>16</v>
      </c>
      <c r="E237" s="1">
        <v>6.3</v>
      </c>
      <c r="F237" s="1" t="str" cm="1">
        <f t="array" ref="F237">_xlfn.IFS(E237&lt;3, "Low (0–3 hrs)", E237&lt;6, "Moderate (3–6 hrs)", E237&lt;8, "High (6–8 hrs)", E237&gt;=8, "Very High (8+ hrs)")</f>
        <v>High (6–8 hrs)</v>
      </c>
      <c r="G237" s="2">
        <v>6</v>
      </c>
      <c r="H237" s="2">
        <v>7</v>
      </c>
      <c r="I237" s="2">
        <v>6</v>
      </c>
      <c r="J237" s="2">
        <v>0</v>
      </c>
      <c r="K237" s="2" t="str" cm="1">
        <f t="array" ref="K237">_xlfn.IFS(Table1[[#This Row],[Exercise_Frequency(week)]]&lt;3, "Beginners (0–2 days)", Table1[[#This Row],[Exercise_Frequency(week)]]&lt;5, "Intermediate (3–4 days)", Table1[[#This Row],[Exercise_Frequency(week)]]&lt;8, "Advanced (5–7 days)")</f>
        <v>Beginners (0–2 days)</v>
      </c>
      <c r="L237" t="s">
        <v>12</v>
      </c>
      <c r="M237" s="2">
        <v>8</v>
      </c>
    </row>
    <row r="238" spans="1:13" x14ac:dyDescent="0.5">
      <c r="A238" t="s">
        <v>159</v>
      </c>
      <c r="B238" s="2">
        <v>47</v>
      </c>
      <c r="C238" s="2" t="str" cm="1">
        <f t="array" ref="C238">_xlfn.IFS(B238&lt;25, "Youth (16–24)", B238&lt;35, "Young Adults (25–34)", B238&lt;45, "Adults (35–44)", B238&lt;55, "Middle-aged (45–54)")</f>
        <v>Middle-aged (45–54)</v>
      </c>
      <c r="D238" t="s">
        <v>16</v>
      </c>
      <c r="E238" s="1">
        <v>2.4</v>
      </c>
      <c r="F238" s="1" t="str" cm="1">
        <f t="array" ref="F238">_xlfn.IFS(E238&lt;3, "Low (0–3 hrs)", E238&lt;6, "Moderate (3–6 hrs)", E238&lt;8, "High (6–8 hrs)", E238&gt;=8, "Very High (8+ hrs)")</f>
        <v>Low (0–3 hrs)</v>
      </c>
      <c r="G238" s="2">
        <v>7</v>
      </c>
      <c r="H238" s="2">
        <v>7</v>
      </c>
      <c r="I238" s="2">
        <v>5</v>
      </c>
      <c r="J238" s="2">
        <v>6</v>
      </c>
      <c r="K238" s="2" t="str" cm="1">
        <f t="array" ref="K238">_xlfn.IFS(Table1[[#This Row],[Exercise_Frequency(week)]]&lt;3, "Beginners (0–2 days)", Table1[[#This Row],[Exercise_Frequency(week)]]&lt;5, "Intermediate (3–4 days)", Table1[[#This Row],[Exercise_Frequency(week)]]&lt;8, "Advanced (5–7 days)")</f>
        <v>Advanced (5–7 days)</v>
      </c>
      <c r="L238" t="s">
        <v>13</v>
      </c>
      <c r="M238" s="2">
        <v>9</v>
      </c>
    </row>
    <row r="239" spans="1:13" x14ac:dyDescent="0.5">
      <c r="A239" t="s">
        <v>203</v>
      </c>
      <c r="B239" s="2">
        <v>18</v>
      </c>
      <c r="C239" s="2" t="str" cm="1">
        <f t="array" ref="C239">_xlfn.IFS(B239&lt;25, "Youth (16–24)", B239&lt;35, "Young Adults (25–34)", B239&lt;45, "Adults (35–44)", B239&lt;55, "Middle-aged (45–54)")</f>
        <v>Youth (16–24)</v>
      </c>
      <c r="D239" t="s">
        <v>11</v>
      </c>
      <c r="E239" s="1">
        <v>5.5</v>
      </c>
      <c r="F239" s="1" t="str" cm="1">
        <f t="array" ref="F239">_xlfn.IFS(E239&lt;3, "Low (0–3 hrs)", E239&lt;6, "Moderate (3–6 hrs)", E239&lt;8, "High (6–8 hrs)", E239&gt;=8, "Very High (8+ hrs)")</f>
        <v>Moderate (3–6 hrs)</v>
      </c>
      <c r="G239" s="2">
        <v>5</v>
      </c>
      <c r="H239" s="2">
        <v>6</v>
      </c>
      <c r="I239" s="2">
        <v>2</v>
      </c>
      <c r="J239" s="2">
        <v>6</v>
      </c>
      <c r="K239" s="2" t="str" cm="1">
        <f t="array" ref="K239">_xlfn.IFS(Table1[[#This Row],[Exercise_Frequency(week)]]&lt;3, "Beginners (0–2 days)", Table1[[#This Row],[Exercise_Frequency(week)]]&lt;5, "Intermediate (3–4 days)", Table1[[#This Row],[Exercise_Frequency(week)]]&lt;8, "Advanced (5–7 days)")</f>
        <v>Advanced (5–7 days)</v>
      </c>
      <c r="L239" t="s">
        <v>19</v>
      </c>
      <c r="M239" s="2">
        <v>9</v>
      </c>
    </row>
    <row r="240" spans="1:13" x14ac:dyDescent="0.5">
      <c r="A240" t="s">
        <v>119</v>
      </c>
      <c r="B240" s="2">
        <v>37</v>
      </c>
      <c r="C240" s="2" t="str" cm="1">
        <f t="array" ref="C240">_xlfn.IFS(B240&lt;25, "Youth (16–24)", B240&lt;35, "Young Adults (25–34)", B240&lt;45, "Adults (35–44)", B240&lt;55, "Middle-aged (45–54)")</f>
        <v>Adults (35–44)</v>
      </c>
      <c r="D240" t="s">
        <v>16</v>
      </c>
      <c r="E240" s="1">
        <v>4.3</v>
      </c>
      <c r="F240" s="1" t="str" cm="1">
        <f t="array" ref="F240">_xlfn.IFS(E240&lt;3, "Low (0–3 hrs)", E240&lt;6, "Moderate (3–6 hrs)", E240&lt;8, "High (6–8 hrs)", E240&gt;=8, "Very High (8+ hrs)")</f>
        <v>Moderate (3–6 hrs)</v>
      </c>
      <c r="G240" s="2">
        <v>6</v>
      </c>
      <c r="H240" s="2">
        <v>8</v>
      </c>
      <c r="I240" s="2">
        <v>3</v>
      </c>
      <c r="J240" s="2">
        <v>5</v>
      </c>
      <c r="K240" s="2" t="str" cm="1">
        <f t="array" ref="K240">_xlfn.IFS(Table1[[#This Row],[Exercise_Frequency(week)]]&lt;3, "Beginners (0–2 days)", Table1[[#This Row],[Exercise_Frequency(week)]]&lt;5, "Intermediate (3–4 days)", Table1[[#This Row],[Exercise_Frequency(week)]]&lt;8, "Advanced (5–7 days)")</f>
        <v>Advanced (5–7 days)</v>
      </c>
      <c r="L240" t="s">
        <v>13</v>
      </c>
      <c r="M240" s="2">
        <v>9</v>
      </c>
    </row>
    <row r="241" spans="1:13" x14ac:dyDescent="0.5">
      <c r="A241" t="s">
        <v>259</v>
      </c>
      <c r="B241" s="2">
        <v>46</v>
      </c>
      <c r="C241" s="2" t="str" cm="1">
        <f t="array" ref="C241">_xlfn.IFS(B241&lt;25, "Youth (16–24)", B241&lt;35, "Young Adults (25–34)", B241&lt;45, "Adults (35–44)", B241&lt;55, "Middle-aged (45–54)")</f>
        <v>Middle-aged (45–54)</v>
      </c>
      <c r="D241" t="s">
        <v>11</v>
      </c>
      <c r="E241" s="1">
        <v>5.3</v>
      </c>
      <c r="F241" s="1" t="str" cm="1">
        <f t="array" ref="F241">_xlfn.IFS(E241&lt;3, "Low (0–3 hrs)", E241&lt;6, "Moderate (3–6 hrs)", E241&lt;8, "High (6–8 hrs)", E241&gt;=8, "Very High (8+ hrs)")</f>
        <v>Moderate (3–6 hrs)</v>
      </c>
      <c r="G241" s="2">
        <v>7</v>
      </c>
      <c r="H241" s="2">
        <v>8</v>
      </c>
      <c r="I241" s="2">
        <v>5</v>
      </c>
      <c r="J241" s="2">
        <v>5</v>
      </c>
      <c r="K241" s="2" t="str" cm="1">
        <f t="array" ref="K241">_xlfn.IFS(Table1[[#This Row],[Exercise_Frequency(week)]]&lt;3, "Beginners (0–2 days)", Table1[[#This Row],[Exercise_Frequency(week)]]&lt;5, "Intermediate (3–4 days)", Table1[[#This Row],[Exercise_Frequency(week)]]&lt;8, "Advanced (5–7 days)")</f>
        <v>Advanced (5–7 days)</v>
      </c>
      <c r="L241" t="s">
        <v>14</v>
      </c>
      <c r="M241" s="2">
        <v>9</v>
      </c>
    </row>
    <row r="242" spans="1:13" x14ac:dyDescent="0.5">
      <c r="A242" t="s">
        <v>278</v>
      </c>
      <c r="B242" s="2">
        <v>35</v>
      </c>
      <c r="C242" s="2" t="str" cm="1">
        <f t="array" ref="C242">_xlfn.IFS(B242&lt;25, "Youth (16–24)", B242&lt;35, "Young Adults (25–34)", B242&lt;45, "Adults (35–44)", B242&lt;55, "Middle-aged (45–54)")</f>
        <v>Adults (35–44)</v>
      </c>
      <c r="D242" t="s">
        <v>11</v>
      </c>
      <c r="E242" s="1">
        <v>6.1</v>
      </c>
      <c r="F242" s="1" t="str" cm="1">
        <f t="array" ref="F242">_xlfn.IFS(E242&lt;3, "Low (0–3 hrs)", E242&lt;6, "Moderate (3–6 hrs)", E242&lt;8, "High (6–8 hrs)", E242&gt;=8, "Very High (8+ hrs)")</f>
        <v>High (6–8 hrs)</v>
      </c>
      <c r="G242" s="2">
        <v>7</v>
      </c>
      <c r="H242" s="2">
        <v>8</v>
      </c>
      <c r="I242" s="2">
        <v>3</v>
      </c>
      <c r="J242" s="2">
        <v>5</v>
      </c>
      <c r="K242" s="2" t="str" cm="1">
        <f t="array" ref="K242">_xlfn.IFS(Table1[[#This Row],[Exercise_Frequency(week)]]&lt;3, "Beginners (0–2 days)", Table1[[#This Row],[Exercise_Frequency(week)]]&lt;5, "Intermediate (3–4 days)", Table1[[#This Row],[Exercise_Frequency(week)]]&lt;8, "Advanced (5–7 days)")</f>
        <v>Advanced (5–7 days)</v>
      </c>
      <c r="L242" t="s">
        <v>17</v>
      </c>
      <c r="M242" s="2">
        <v>9</v>
      </c>
    </row>
    <row r="243" spans="1:13" x14ac:dyDescent="0.5">
      <c r="A243" t="s">
        <v>371</v>
      </c>
      <c r="B243" s="2">
        <v>17</v>
      </c>
      <c r="C243" s="2" t="str" cm="1">
        <f t="array" ref="C243">_xlfn.IFS(B243&lt;25, "Youth (16–24)", B243&lt;35, "Young Adults (25–34)", B243&lt;45, "Adults (35–44)", B243&lt;55, "Middle-aged (45–54)")</f>
        <v>Youth (16–24)</v>
      </c>
      <c r="D243" t="s">
        <v>11</v>
      </c>
      <c r="E243" s="1">
        <v>5.8</v>
      </c>
      <c r="F243" s="1" t="str" cm="1">
        <f t="array" ref="F243">_xlfn.IFS(E243&lt;3, "Low (0–3 hrs)", E243&lt;6, "Moderate (3–6 hrs)", E243&lt;8, "High (6–8 hrs)", E243&gt;=8, "Very High (8+ hrs)")</f>
        <v>Moderate (3–6 hrs)</v>
      </c>
      <c r="G243" s="2">
        <v>6</v>
      </c>
      <c r="H243" s="2">
        <v>7</v>
      </c>
      <c r="I243" s="2">
        <v>1</v>
      </c>
      <c r="J243" s="2">
        <v>5</v>
      </c>
      <c r="K243" s="2" t="str" cm="1">
        <f t="array" ref="K243">_xlfn.IFS(Table1[[#This Row],[Exercise_Frequency(week)]]&lt;3, "Beginners (0–2 days)", Table1[[#This Row],[Exercise_Frequency(week)]]&lt;5, "Intermediate (3–4 days)", Table1[[#This Row],[Exercise_Frequency(week)]]&lt;8, "Advanced (5–7 days)")</f>
        <v>Advanced (5–7 days)</v>
      </c>
      <c r="L243" t="s">
        <v>17</v>
      </c>
      <c r="M243" s="2">
        <v>9</v>
      </c>
    </row>
    <row r="244" spans="1:13" x14ac:dyDescent="0.5">
      <c r="A244" t="s">
        <v>487</v>
      </c>
      <c r="B244" s="2">
        <v>27</v>
      </c>
      <c r="C244" s="2" t="str" cm="1">
        <f t="array" ref="C244">_xlfn.IFS(B244&lt;25, "Youth (16–24)", B244&lt;35, "Young Adults (25–34)", B244&lt;45, "Adults (35–44)", B244&lt;55, "Middle-aged (45–54)")</f>
        <v>Young Adults (25–34)</v>
      </c>
      <c r="D244" t="s">
        <v>16</v>
      </c>
      <c r="E244" s="1">
        <v>4.5</v>
      </c>
      <c r="F244" s="1" t="str" cm="1">
        <f t="array" ref="F244">_xlfn.IFS(E244&lt;3, "Low (0–3 hrs)", E244&lt;6, "Moderate (3–6 hrs)", E244&lt;8, "High (6–8 hrs)", E244&gt;=8, "Very High (8+ hrs)")</f>
        <v>Moderate (3–6 hrs)</v>
      </c>
      <c r="G244" s="2">
        <v>5</v>
      </c>
      <c r="H244" s="2">
        <v>7</v>
      </c>
      <c r="I244" s="2">
        <v>6</v>
      </c>
      <c r="J244" s="2">
        <v>5</v>
      </c>
      <c r="K244" s="2" t="str" cm="1">
        <f t="array" ref="K244">_xlfn.IFS(Table1[[#This Row],[Exercise_Frequency(week)]]&lt;3, "Beginners (0–2 days)", Table1[[#This Row],[Exercise_Frequency(week)]]&lt;5, "Intermediate (3–4 days)", Table1[[#This Row],[Exercise_Frequency(week)]]&lt;8, "Advanced (5–7 days)")</f>
        <v>Advanced (5–7 days)</v>
      </c>
      <c r="L244" t="s">
        <v>12</v>
      </c>
      <c r="M244" s="2">
        <v>9</v>
      </c>
    </row>
    <row r="245" spans="1:13" x14ac:dyDescent="0.5">
      <c r="A245" t="s">
        <v>97</v>
      </c>
      <c r="B245" s="2">
        <v>29</v>
      </c>
      <c r="C245" s="2" t="str" cm="1">
        <f t="array" ref="C245">_xlfn.IFS(B245&lt;25, "Youth (16–24)", B245&lt;35, "Young Adults (25–34)", B245&lt;45, "Adults (35–44)", B245&lt;55, "Middle-aged (45–54)")</f>
        <v>Young Adults (25–34)</v>
      </c>
      <c r="D245" t="s">
        <v>11</v>
      </c>
      <c r="E245" s="1">
        <v>4</v>
      </c>
      <c r="F245" s="1" t="str" cm="1">
        <f t="array" ref="F245">_xlfn.IFS(E245&lt;3, "Low (0–3 hrs)", E245&lt;6, "Moderate (3–6 hrs)", E245&lt;8, "High (6–8 hrs)", E245&gt;=8, "Very High (8+ hrs)")</f>
        <v>Moderate (3–6 hrs)</v>
      </c>
      <c r="G245" s="2">
        <v>6</v>
      </c>
      <c r="H245" s="2">
        <v>4</v>
      </c>
      <c r="I245" s="2">
        <v>1</v>
      </c>
      <c r="J245" s="2">
        <v>4</v>
      </c>
      <c r="K245" s="2" t="str" cm="1">
        <f t="array" ref="K245">_xlfn.IFS(Table1[[#This Row],[Exercise_Frequency(week)]]&lt;3, "Beginners (0–2 days)", Table1[[#This Row],[Exercise_Frequency(week)]]&lt;5, "Intermediate (3–4 days)", Table1[[#This Row],[Exercise_Frequency(week)]]&lt;8, "Advanced (5–7 days)")</f>
        <v>Intermediate (3–4 days)</v>
      </c>
      <c r="L245" t="s">
        <v>14</v>
      </c>
      <c r="M245" s="2">
        <v>9</v>
      </c>
    </row>
    <row r="246" spans="1:13" x14ac:dyDescent="0.5">
      <c r="A246" t="s">
        <v>123</v>
      </c>
      <c r="B246" s="2">
        <v>43</v>
      </c>
      <c r="C246" s="2" t="str" cm="1">
        <f t="array" ref="C246">_xlfn.IFS(B246&lt;25, "Youth (16–24)", B246&lt;35, "Young Adults (25–34)", B246&lt;45, "Adults (35–44)", B246&lt;55, "Middle-aged (45–54)")</f>
        <v>Adults (35–44)</v>
      </c>
      <c r="D246" t="s">
        <v>11</v>
      </c>
      <c r="E246" s="1">
        <v>4.3</v>
      </c>
      <c r="F246" s="1" t="str" cm="1">
        <f t="array" ref="F246">_xlfn.IFS(E246&lt;3, "Low (0–3 hrs)", E246&lt;6, "Moderate (3–6 hrs)", E246&lt;8, "High (6–8 hrs)", E246&gt;=8, "Very High (8+ hrs)")</f>
        <v>Moderate (3–6 hrs)</v>
      </c>
      <c r="G246" s="2">
        <v>7</v>
      </c>
      <c r="H246" s="2">
        <v>6</v>
      </c>
      <c r="I246" s="2">
        <v>3</v>
      </c>
      <c r="J246" s="2">
        <v>4</v>
      </c>
      <c r="K246" s="2" t="str" cm="1">
        <f t="array" ref="K246">_xlfn.IFS(Table1[[#This Row],[Exercise_Frequency(week)]]&lt;3, "Beginners (0–2 days)", Table1[[#This Row],[Exercise_Frequency(week)]]&lt;5, "Intermediate (3–4 days)", Table1[[#This Row],[Exercise_Frequency(week)]]&lt;8, "Advanced (5–7 days)")</f>
        <v>Intermediate (3–4 days)</v>
      </c>
      <c r="L246" t="s">
        <v>13</v>
      </c>
      <c r="M246" s="2">
        <v>9</v>
      </c>
    </row>
    <row r="247" spans="1:13" x14ac:dyDescent="0.5">
      <c r="A247" t="s">
        <v>125</v>
      </c>
      <c r="B247" s="2">
        <v>35</v>
      </c>
      <c r="C247" s="2" t="str" cm="1">
        <f t="array" ref="C247">_xlfn.IFS(B247&lt;25, "Youth (16–24)", B247&lt;35, "Young Adults (25–34)", B247&lt;45, "Adults (35–44)", B247&lt;55, "Middle-aged (45–54)")</f>
        <v>Adults (35–44)</v>
      </c>
      <c r="D247" t="s">
        <v>16</v>
      </c>
      <c r="E247" s="1">
        <v>6.3</v>
      </c>
      <c r="F247" s="1" t="str" cm="1">
        <f t="array" ref="F247">_xlfn.IFS(E247&lt;3, "Low (0–3 hrs)", E247&lt;6, "Moderate (3–6 hrs)", E247&lt;8, "High (6–8 hrs)", E247&gt;=8, "Very High (8+ hrs)")</f>
        <v>High (6–8 hrs)</v>
      </c>
      <c r="G247" s="2">
        <v>6</v>
      </c>
      <c r="H247" s="2">
        <v>7</v>
      </c>
      <c r="I247" s="2">
        <v>6</v>
      </c>
      <c r="J247" s="2">
        <v>4</v>
      </c>
      <c r="K247" s="2" t="str" cm="1">
        <f t="array" ref="K247">_xlfn.IFS(Table1[[#This Row],[Exercise_Frequency(week)]]&lt;3, "Beginners (0–2 days)", Table1[[#This Row],[Exercise_Frequency(week)]]&lt;5, "Intermediate (3–4 days)", Table1[[#This Row],[Exercise_Frequency(week)]]&lt;8, "Advanced (5–7 days)")</f>
        <v>Intermediate (3–4 days)</v>
      </c>
      <c r="L247" t="s">
        <v>12</v>
      </c>
      <c r="M247" s="2">
        <v>9</v>
      </c>
    </row>
    <row r="248" spans="1:13" x14ac:dyDescent="0.5">
      <c r="A248" t="s">
        <v>216</v>
      </c>
      <c r="B248" s="2">
        <v>31</v>
      </c>
      <c r="C248" s="2" t="str" cm="1">
        <f t="array" ref="C248">_xlfn.IFS(B248&lt;25, "Youth (16–24)", B248&lt;35, "Young Adults (25–34)", B248&lt;45, "Adults (35–44)", B248&lt;55, "Middle-aged (45–54)")</f>
        <v>Young Adults (25–34)</v>
      </c>
      <c r="D248" t="s">
        <v>16</v>
      </c>
      <c r="E248" s="1">
        <v>5.5</v>
      </c>
      <c r="F248" s="1" t="str" cm="1">
        <f t="array" ref="F248">_xlfn.IFS(E248&lt;3, "Low (0–3 hrs)", E248&lt;6, "Moderate (3–6 hrs)", E248&lt;8, "High (6–8 hrs)", E248&gt;=8, "Very High (8+ hrs)")</f>
        <v>Moderate (3–6 hrs)</v>
      </c>
      <c r="G248" s="2">
        <v>7</v>
      </c>
      <c r="H248" s="2">
        <v>7</v>
      </c>
      <c r="I248" s="2">
        <v>2</v>
      </c>
      <c r="J248" s="2">
        <v>4</v>
      </c>
      <c r="K248" s="2" t="str" cm="1">
        <f t="array" ref="K248">_xlfn.IFS(Table1[[#This Row],[Exercise_Frequency(week)]]&lt;3, "Beginners (0–2 days)", Table1[[#This Row],[Exercise_Frequency(week)]]&lt;5, "Intermediate (3–4 days)", Table1[[#This Row],[Exercise_Frequency(week)]]&lt;8, "Advanced (5–7 days)")</f>
        <v>Intermediate (3–4 days)</v>
      </c>
      <c r="L248" t="s">
        <v>13</v>
      </c>
      <c r="M248" s="2">
        <v>9</v>
      </c>
    </row>
    <row r="249" spans="1:13" x14ac:dyDescent="0.5">
      <c r="A249" t="s">
        <v>289</v>
      </c>
      <c r="B249" s="2">
        <v>47</v>
      </c>
      <c r="C249" s="2" t="str" cm="1">
        <f t="array" ref="C249">_xlfn.IFS(B249&lt;25, "Youth (16–24)", B249&lt;35, "Young Adults (25–34)", B249&lt;45, "Adults (35–44)", B249&lt;55, "Middle-aged (45–54)")</f>
        <v>Middle-aged (45–54)</v>
      </c>
      <c r="D249" t="s">
        <v>11</v>
      </c>
      <c r="E249" s="1">
        <v>5.3</v>
      </c>
      <c r="F249" s="1" t="str" cm="1">
        <f t="array" ref="F249">_xlfn.IFS(E249&lt;3, "Low (0–3 hrs)", E249&lt;6, "Moderate (3–6 hrs)", E249&lt;8, "High (6–8 hrs)", E249&gt;=8, "Very High (8+ hrs)")</f>
        <v>Moderate (3–6 hrs)</v>
      </c>
      <c r="G249" s="2">
        <v>6</v>
      </c>
      <c r="H249" s="2">
        <v>6</v>
      </c>
      <c r="I249" s="2">
        <v>3</v>
      </c>
      <c r="J249" s="2">
        <v>4</v>
      </c>
      <c r="K249" s="2" t="str" cm="1">
        <f t="array" ref="K249">_xlfn.IFS(Table1[[#This Row],[Exercise_Frequency(week)]]&lt;3, "Beginners (0–2 days)", Table1[[#This Row],[Exercise_Frequency(week)]]&lt;5, "Intermediate (3–4 days)", Table1[[#This Row],[Exercise_Frequency(week)]]&lt;8, "Advanced (5–7 days)")</f>
        <v>Intermediate (3–4 days)</v>
      </c>
      <c r="L249" t="s">
        <v>23</v>
      </c>
      <c r="M249" s="2">
        <v>9</v>
      </c>
    </row>
    <row r="250" spans="1:13" x14ac:dyDescent="0.5">
      <c r="A250" t="s">
        <v>291</v>
      </c>
      <c r="B250" s="2">
        <v>37</v>
      </c>
      <c r="C250" s="2" t="str" cm="1">
        <f t="array" ref="C250">_xlfn.IFS(B250&lt;25, "Youth (16–24)", B250&lt;35, "Young Adults (25–34)", B250&lt;45, "Adults (35–44)", B250&lt;55, "Middle-aged (45–54)")</f>
        <v>Adults (35–44)</v>
      </c>
      <c r="D250" t="s">
        <v>16</v>
      </c>
      <c r="E250" s="1">
        <v>3.3</v>
      </c>
      <c r="F250" s="1" t="str" cm="1">
        <f t="array" ref="F250">_xlfn.IFS(E250&lt;3, "Low (0–3 hrs)", E250&lt;6, "Moderate (3–6 hrs)", E250&lt;8, "High (6–8 hrs)", E250&gt;=8, "Very High (8+ hrs)")</f>
        <v>Moderate (3–6 hrs)</v>
      </c>
      <c r="G250" s="2">
        <v>7</v>
      </c>
      <c r="H250" s="2">
        <v>5</v>
      </c>
      <c r="I250" s="2">
        <v>6</v>
      </c>
      <c r="J250" s="2">
        <v>4</v>
      </c>
      <c r="K250" s="2" t="str" cm="1">
        <f t="array" ref="K250">_xlfn.IFS(Table1[[#This Row],[Exercise_Frequency(week)]]&lt;3, "Beginners (0–2 days)", Table1[[#This Row],[Exercise_Frequency(week)]]&lt;5, "Intermediate (3–4 days)", Table1[[#This Row],[Exercise_Frequency(week)]]&lt;8, "Advanced (5–7 days)")</f>
        <v>Intermediate (3–4 days)</v>
      </c>
      <c r="L250" t="s">
        <v>12</v>
      </c>
      <c r="M250" s="2">
        <v>9</v>
      </c>
    </row>
    <row r="251" spans="1:13" x14ac:dyDescent="0.5">
      <c r="A251" t="s">
        <v>292</v>
      </c>
      <c r="B251" s="2">
        <v>40</v>
      </c>
      <c r="C251" s="2" t="str" cm="1">
        <f t="array" ref="C251">_xlfn.IFS(B251&lt;25, "Youth (16–24)", B251&lt;35, "Young Adults (25–34)", B251&lt;45, "Adults (35–44)", B251&lt;55, "Middle-aged (45–54)")</f>
        <v>Adults (35–44)</v>
      </c>
      <c r="D251" t="s">
        <v>11</v>
      </c>
      <c r="E251" s="1">
        <v>7.5</v>
      </c>
      <c r="F251" s="1" t="str" cm="1">
        <f t="array" ref="F251">_xlfn.IFS(E251&lt;3, "Low (0–3 hrs)", E251&lt;6, "Moderate (3–6 hrs)", E251&lt;8, "High (6–8 hrs)", E251&gt;=8, "Very High (8+ hrs)")</f>
        <v>High (6–8 hrs)</v>
      </c>
      <c r="G251" s="2">
        <v>5</v>
      </c>
      <c r="H251" s="2">
        <v>7</v>
      </c>
      <c r="I251" s="2">
        <v>4</v>
      </c>
      <c r="J251" s="2">
        <v>4</v>
      </c>
      <c r="K251" s="2" t="str" cm="1">
        <f t="array" ref="K251">_xlfn.IFS(Table1[[#This Row],[Exercise_Frequency(week)]]&lt;3, "Beginners (0–2 days)", Table1[[#This Row],[Exercise_Frequency(week)]]&lt;5, "Intermediate (3–4 days)", Table1[[#This Row],[Exercise_Frequency(week)]]&lt;8, "Advanced (5–7 days)")</f>
        <v>Intermediate (3–4 days)</v>
      </c>
      <c r="L251" t="s">
        <v>17</v>
      </c>
      <c r="M251" s="2">
        <v>9</v>
      </c>
    </row>
    <row r="252" spans="1:13" x14ac:dyDescent="0.5">
      <c r="A252" t="s">
        <v>462</v>
      </c>
      <c r="B252" s="2">
        <v>43</v>
      </c>
      <c r="C252" s="2" t="str" cm="1">
        <f t="array" ref="C252">_xlfn.IFS(B252&lt;25, "Youth (16–24)", B252&lt;35, "Young Adults (25–34)", B252&lt;45, "Adults (35–44)", B252&lt;55, "Middle-aged (45–54)")</f>
        <v>Adults (35–44)</v>
      </c>
      <c r="D252" t="s">
        <v>11</v>
      </c>
      <c r="E252" s="1">
        <v>5.0999999999999996</v>
      </c>
      <c r="F252" s="1" t="str" cm="1">
        <f t="array" ref="F252">_xlfn.IFS(E252&lt;3, "Low (0–3 hrs)", E252&lt;6, "Moderate (3–6 hrs)", E252&lt;8, "High (6–8 hrs)", E252&gt;=8, "Very High (8+ hrs)")</f>
        <v>Moderate (3–6 hrs)</v>
      </c>
      <c r="G252" s="2">
        <v>6</v>
      </c>
      <c r="H252" s="2">
        <v>6</v>
      </c>
      <c r="I252" s="2">
        <v>3</v>
      </c>
      <c r="J252" s="2">
        <v>4</v>
      </c>
      <c r="K252" s="2" t="str" cm="1">
        <f t="array" ref="K252">_xlfn.IFS(Table1[[#This Row],[Exercise_Frequency(week)]]&lt;3, "Beginners (0–2 days)", Table1[[#This Row],[Exercise_Frequency(week)]]&lt;5, "Intermediate (3–4 days)", Table1[[#This Row],[Exercise_Frequency(week)]]&lt;8, "Advanced (5–7 days)")</f>
        <v>Intermediate (3–4 days)</v>
      </c>
      <c r="L252" t="s">
        <v>13</v>
      </c>
      <c r="M252" s="2">
        <v>9</v>
      </c>
    </row>
    <row r="253" spans="1:13" x14ac:dyDescent="0.5">
      <c r="A253" t="s">
        <v>29</v>
      </c>
      <c r="B253" s="2">
        <v>45</v>
      </c>
      <c r="C253" s="2" t="str" cm="1">
        <f t="array" ref="C253">_xlfn.IFS(B253&lt;25, "Youth (16–24)", B253&lt;35, "Young Adults (25–34)", B253&lt;45, "Adults (35–44)", B253&lt;55, "Middle-aged (45–54)")</f>
        <v>Middle-aged (45–54)</v>
      </c>
      <c r="D253" t="s">
        <v>11</v>
      </c>
      <c r="E253" s="1">
        <v>6.3</v>
      </c>
      <c r="F253" s="1" t="str" cm="1">
        <f t="array" ref="F253">_xlfn.IFS(E253&lt;3, "Low (0–3 hrs)", E253&lt;6, "Moderate (3–6 hrs)", E253&lt;8, "High (6–8 hrs)", E253&gt;=8, "Very High (8+ hrs)")</f>
        <v>High (6–8 hrs)</v>
      </c>
      <c r="G253" s="2">
        <v>7</v>
      </c>
      <c r="H253" s="2">
        <v>7</v>
      </c>
      <c r="I253" s="2">
        <v>4</v>
      </c>
      <c r="J253" s="2">
        <v>3</v>
      </c>
      <c r="K253" s="2" t="str" cm="1">
        <f t="array" ref="K253">_xlfn.IFS(Table1[[#This Row],[Exercise_Frequency(week)]]&lt;3, "Beginners (0–2 days)", Table1[[#This Row],[Exercise_Frequency(week)]]&lt;5, "Intermediate (3–4 days)", Table1[[#This Row],[Exercise_Frequency(week)]]&lt;8, "Advanced (5–7 days)")</f>
        <v>Intermediate (3–4 days)</v>
      </c>
      <c r="L253" t="s">
        <v>19</v>
      </c>
      <c r="M253" s="2">
        <v>9</v>
      </c>
    </row>
    <row r="254" spans="1:13" x14ac:dyDescent="0.5">
      <c r="A254" t="s">
        <v>54</v>
      </c>
      <c r="B254" s="2">
        <v>19</v>
      </c>
      <c r="C254" s="2" t="str" cm="1">
        <f t="array" ref="C254">_xlfn.IFS(B254&lt;25, "Youth (16–24)", B254&lt;35, "Young Adults (25–34)", B254&lt;45, "Adults (35–44)", B254&lt;55, "Middle-aged (45–54)")</f>
        <v>Youth (16–24)</v>
      </c>
      <c r="D254" t="s">
        <v>11</v>
      </c>
      <c r="E254" s="1">
        <v>6.9</v>
      </c>
      <c r="F254" s="1" t="str" cm="1">
        <f t="array" ref="F254">_xlfn.IFS(E254&lt;3, "Low (0–3 hrs)", E254&lt;6, "Moderate (3–6 hrs)", E254&lt;8, "High (6–8 hrs)", E254&gt;=8, "Very High (8+ hrs)")</f>
        <v>High (6–8 hrs)</v>
      </c>
      <c r="G254" s="2">
        <v>5</v>
      </c>
      <c r="H254" s="2">
        <v>7</v>
      </c>
      <c r="I254" s="2">
        <v>2</v>
      </c>
      <c r="J254" s="2">
        <v>3</v>
      </c>
      <c r="K254" s="2" t="str" cm="1">
        <f t="array" ref="K254">_xlfn.IFS(Table1[[#This Row],[Exercise_Frequency(week)]]&lt;3, "Beginners (0–2 days)", Table1[[#This Row],[Exercise_Frequency(week)]]&lt;5, "Intermediate (3–4 days)", Table1[[#This Row],[Exercise_Frequency(week)]]&lt;8, "Advanced (5–7 days)")</f>
        <v>Intermediate (3–4 days)</v>
      </c>
      <c r="L254" t="s">
        <v>12</v>
      </c>
      <c r="M254" s="2">
        <v>9</v>
      </c>
    </row>
    <row r="255" spans="1:13" x14ac:dyDescent="0.5">
      <c r="A255" t="s">
        <v>56</v>
      </c>
      <c r="B255" s="2">
        <v>33</v>
      </c>
      <c r="C255" s="2" t="str" cm="1">
        <f t="array" ref="C255">_xlfn.IFS(B255&lt;25, "Youth (16–24)", B255&lt;35, "Young Adults (25–34)", B255&lt;45, "Adults (35–44)", B255&lt;55, "Middle-aged (45–54)")</f>
        <v>Young Adults (25–34)</v>
      </c>
      <c r="D255" t="s">
        <v>16</v>
      </c>
      <c r="E255" s="1">
        <v>4.0999999999999996</v>
      </c>
      <c r="F255" s="1" t="str" cm="1">
        <f t="array" ref="F255">_xlfn.IFS(E255&lt;3, "Low (0–3 hrs)", E255&lt;6, "Moderate (3–6 hrs)", E255&lt;8, "High (6–8 hrs)", E255&gt;=8, "Very High (8+ hrs)")</f>
        <v>Moderate (3–6 hrs)</v>
      </c>
      <c r="G255" s="2">
        <v>8</v>
      </c>
      <c r="H255" s="2">
        <v>7</v>
      </c>
      <c r="I255" s="2">
        <v>6</v>
      </c>
      <c r="J255" s="2">
        <v>3</v>
      </c>
      <c r="K255" s="2" t="str" cm="1">
        <f t="array" ref="K255">_xlfn.IFS(Table1[[#This Row],[Exercise_Frequency(week)]]&lt;3, "Beginners (0–2 days)", Table1[[#This Row],[Exercise_Frequency(week)]]&lt;5, "Intermediate (3–4 days)", Table1[[#This Row],[Exercise_Frequency(week)]]&lt;8, "Advanced (5–7 days)")</f>
        <v>Intermediate (3–4 days)</v>
      </c>
      <c r="L255" t="s">
        <v>13</v>
      </c>
      <c r="M255" s="2">
        <v>9</v>
      </c>
    </row>
    <row r="256" spans="1:13" x14ac:dyDescent="0.5">
      <c r="A256" t="s">
        <v>72</v>
      </c>
      <c r="B256" s="2">
        <v>44</v>
      </c>
      <c r="C256" s="2" t="str" cm="1">
        <f t="array" ref="C256">_xlfn.IFS(B256&lt;25, "Youth (16–24)", B256&lt;35, "Young Adults (25–34)", B256&lt;45, "Adults (35–44)", B256&lt;55, "Middle-aged (45–54)")</f>
        <v>Adults (35–44)</v>
      </c>
      <c r="D256" t="s">
        <v>16</v>
      </c>
      <c r="E256" s="1">
        <v>4.4000000000000004</v>
      </c>
      <c r="F256" s="1" t="str" cm="1">
        <f t="array" ref="F256">_xlfn.IFS(E256&lt;3, "Low (0–3 hrs)", E256&lt;6, "Moderate (3–6 hrs)", E256&lt;8, "High (6–8 hrs)", E256&gt;=8, "Very High (8+ hrs)")</f>
        <v>Moderate (3–6 hrs)</v>
      </c>
      <c r="G256" s="2">
        <v>6</v>
      </c>
      <c r="H256" s="2">
        <v>7</v>
      </c>
      <c r="I256" s="2">
        <v>1</v>
      </c>
      <c r="J256" s="2">
        <v>3</v>
      </c>
      <c r="K256" s="2" t="str" cm="1">
        <f t="array" ref="K256">_xlfn.IFS(Table1[[#This Row],[Exercise_Frequency(week)]]&lt;3, "Beginners (0–2 days)", Table1[[#This Row],[Exercise_Frequency(week)]]&lt;5, "Intermediate (3–4 days)", Table1[[#This Row],[Exercise_Frequency(week)]]&lt;8, "Advanced (5–7 days)")</f>
        <v>Intermediate (3–4 days)</v>
      </c>
      <c r="L256" t="s">
        <v>13</v>
      </c>
      <c r="M256" s="2">
        <v>9</v>
      </c>
    </row>
    <row r="257" spans="1:13" x14ac:dyDescent="0.5">
      <c r="A257" t="s">
        <v>113</v>
      </c>
      <c r="B257" s="2">
        <v>38</v>
      </c>
      <c r="C257" s="2" t="str" cm="1">
        <f t="array" ref="C257">_xlfn.IFS(B257&lt;25, "Youth (16–24)", B257&lt;35, "Young Adults (25–34)", B257&lt;45, "Adults (35–44)", B257&lt;55, "Middle-aged (45–54)")</f>
        <v>Adults (35–44)</v>
      </c>
      <c r="D257" t="s">
        <v>11</v>
      </c>
      <c r="E257" s="1">
        <v>6.2</v>
      </c>
      <c r="F257" s="1" t="str" cm="1">
        <f t="array" ref="F257">_xlfn.IFS(E257&lt;3, "Low (0–3 hrs)", E257&lt;6, "Moderate (3–6 hrs)", E257&lt;8, "High (6–8 hrs)", E257&gt;=8, "Very High (8+ hrs)")</f>
        <v>High (6–8 hrs)</v>
      </c>
      <c r="G257" s="2">
        <v>7</v>
      </c>
      <c r="H257" s="2">
        <v>7</v>
      </c>
      <c r="I257" s="2">
        <v>1</v>
      </c>
      <c r="J257" s="2">
        <v>3</v>
      </c>
      <c r="K257" s="2" t="str" cm="1">
        <f t="array" ref="K257">_xlfn.IFS(Table1[[#This Row],[Exercise_Frequency(week)]]&lt;3, "Beginners (0–2 days)", Table1[[#This Row],[Exercise_Frequency(week)]]&lt;5, "Intermediate (3–4 days)", Table1[[#This Row],[Exercise_Frequency(week)]]&lt;8, "Advanced (5–7 days)")</f>
        <v>Intermediate (3–4 days)</v>
      </c>
      <c r="L257" t="s">
        <v>23</v>
      </c>
      <c r="M257" s="2">
        <v>9</v>
      </c>
    </row>
    <row r="258" spans="1:13" x14ac:dyDescent="0.5">
      <c r="A258" t="s">
        <v>134</v>
      </c>
      <c r="B258" s="2">
        <v>18</v>
      </c>
      <c r="C258" s="2" t="str" cm="1">
        <f t="array" ref="C258">_xlfn.IFS(B258&lt;25, "Youth (16–24)", B258&lt;35, "Young Adults (25–34)", B258&lt;45, "Adults (35–44)", B258&lt;55, "Middle-aged (45–54)")</f>
        <v>Youth (16–24)</v>
      </c>
      <c r="D258" t="s">
        <v>16</v>
      </c>
      <c r="E258" s="1">
        <v>3.1</v>
      </c>
      <c r="F258" s="1" t="str" cm="1">
        <f t="array" ref="F258">_xlfn.IFS(E258&lt;3, "Low (0–3 hrs)", E258&lt;6, "Moderate (3–6 hrs)", E258&lt;8, "High (6–8 hrs)", E258&gt;=8, "Very High (8+ hrs)")</f>
        <v>Moderate (3–6 hrs)</v>
      </c>
      <c r="G258" s="2">
        <v>7</v>
      </c>
      <c r="H258" s="2">
        <v>6</v>
      </c>
      <c r="I258" s="2">
        <v>4</v>
      </c>
      <c r="J258" s="2">
        <v>3</v>
      </c>
      <c r="K258" s="2" t="str" cm="1">
        <f t="array" ref="K258">_xlfn.IFS(Table1[[#This Row],[Exercise_Frequency(week)]]&lt;3, "Beginners (0–2 days)", Table1[[#This Row],[Exercise_Frequency(week)]]&lt;5, "Intermediate (3–4 days)", Table1[[#This Row],[Exercise_Frequency(week)]]&lt;8, "Advanced (5–7 days)")</f>
        <v>Intermediate (3–4 days)</v>
      </c>
      <c r="L258" t="s">
        <v>17</v>
      </c>
      <c r="M258" s="2">
        <v>9</v>
      </c>
    </row>
    <row r="259" spans="1:13" x14ac:dyDescent="0.5">
      <c r="A259" t="s">
        <v>140</v>
      </c>
      <c r="B259" s="2">
        <v>39</v>
      </c>
      <c r="C259" s="2" t="str" cm="1">
        <f t="array" ref="C259">_xlfn.IFS(B259&lt;25, "Youth (16–24)", B259&lt;35, "Young Adults (25–34)", B259&lt;45, "Adults (35–44)", B259&lt;55, "Middle-aged (45–54)")</f>
        <v>Adults (35–44)</v>
      </c>
      <c r="D259" t="s">
        <v>16</v>
      </c>
      <c r="E259" s="1">
        <v>5.6</v>
      </c>
      <c r="F259" s="1" t="str" cm="1">
        <f t="array" ref="F259">_xlfn.IFS(E259&lt;3, "Low (0–3 hrs)", E259&lt;6, "Moderate (3–6 hrs)", E259&lt;8, "High (6–8 hrs)", E259&gt;=8, "Very High (8+ hrs)")</f>
        <v>Moderate (3–6 hrs)</v>
      </c>
      <c r="G259" s="2">
        <v>8</v>
      </c>
      <c r="H259" s="2">
        <v>6</v>
      </c>
      <c r="I259" s="2">
        <v>2</v>
      </c>
      <c r="J259" s="2">
        <v>3</v>
      </c>
      <c r="K259" s="2" t="str" cm="1">
        <f t="array" ref="K259">_xlfn.IFS(Table1[[#This Row],[Exercise_Frequency(week)]]&lt;3, "Beginners (0–2 days)", Table1[[#This Row],[Exercise_Frequency(week)]]&lt;5, "Intermediate (3–4 days)", Table1[[#This Row],[Exercise_Frequency(week)]]&lt;8, "Advanced (5–7 days)")</f>
        <v>Intermediate (3–4 days)</v>
      </c>
      <c r="L259" t="s">
        <v>13</v>
      </c>
      <c r="M259" s="2">
        <v>9</v>
      </c>
    </row>
    <row r="260" spans="1:13" x14ac:dyDescent="0.5">
      <c r="A260" t="s">
        <v>194</v>
      </c>
      <c r="B260" s="2">
        <v>41</v>
      </c>
      <c r="C260" s="2" t="str" cm="1">
        <f t="array" ref="C260">_xlfn.IFS(B260&lt;25, "Youth (16–24)", B260&lt;35, "Young Adults (25–34)", B260&lt;45, "Adults (35–44)", B260&lt;55, "Middle-aged (45–54)")</f>
        <v>Adults (35–44)</v>
      </c>
      <c r="D260" t="s">
        <v>11</v>
      </c>
      <c r="E260" s="1">
        <v>3.1</v>
      </c>
      <c r="F260" s="1" t="str" cm="1">
        <f t="array" ref="F260">_xlfn.IFS(E260&lt;3, "Low (0–3 hrs)", E260&lt;6, "Moderate (3–6 hrs)", E260&lt;8, "High (6–8 hrs)", E260&gt;=8, "Very High (8+ hrs)")</f>
        <v>Moderate (3–6 hrs)</v>
      </c>
      <c r="G260" s="2">
        <v>7</v>
      </c>
      <c r="H260" s="2">
        <v>7</v>
      </c>
      <c r="I260" s="2">
        <v>2</v>
      </c>
      <c r="J260" s="2">
        <v>3</v>
      </c>
      <c r="K260" s="2" t="str" cm="1">
        <f t="array" ref="K260">_xlfn.IFS(Table1[[#This Row],[Exercise_Frequency(week)]]&lt;3, "Beginners (0–2 days)", Table1[[#This Row],[Exercise_Frequency(week)]]&lt;5, "Intermediate (3–4 days)", Table1[[#This Row],[Exercise_Frequency(week)]]&lt;8, "Advanced (5–7 days)")</f>
        <v>Intermediate (3–4 days)</v>
      </c>
      <c r="L260" t="s">
        <v>14</v>
      </c>
      <c r="M260" s="2">
        <v>9</v>
      </c>
    </row>
    <row r="261" spans="1:13" x14ac:dyDescent="0.5">
      <c r="A261" t="s">
        <v>205</v>
      </c>
      <c r="B261" s="2">
        <v>39</v>
      </c>
      <c r="C261" s="2" t="str" cm="1">
        <f t="array" ref="C261">_xlfn.IFS(B261&lt;25, "Youth (16–24)", B261&lt;35, "Young Adults (25–34)", B261&lt;45, "Adults (35–44)", B261&lt;55, "Middle-aged (45–54)")</f>
        <v>Adults (35–44)</v>
      </c>
      <c r="D261" t="s">
        <v>11</v>
      </c>
      <c r="E261" s="1">
        <v>4.3</v>
      </c>
      <c r="F261" s="1" t="str" cm="1">
        <f t="array" ref="F261">_xlfn.IFS(E261&lt;3, "Low (0–3 hrs)", E261&lt;6, "Moderate (3–6 hrs)", E261&lt;8, "High (6–8 hrs)", E261&gt;=8, "Very High (8+ hrs)")</f>
        <v>Moderate (3–6 hrs)</v>
      </c>
      <c r="G261" s="2">
        <v>9</v>
      </c>
      <c r="H261" s="2">
        <v>7</v>
      </c>
      <c r="I261" s="2">
        <v>1</v>
      </c>
      <c r="J261" s="2">
        <v>3</v>
      </c>
      <c r="K261" s="2" t="str" cm="1">
        <f t="array" ref="K261">_xlfn.IFS(Table1[[#This Row],[Exercise_Frequency(week)]]&lt;3, "Beginners (0–2 days)", Table1[[#This Row],[Exercise_Frequency(week)]]&lt;5, "Intermediate (3–4 days)", Table1[[#This Row],[Exercise_Frequency(week)]]&lt;8, "Advanced (5–7 days)")</f>
        <v>Intermediate (3–4 days)</v>
      </c>
      <c r="L261" t="s">
        <v>17</v>
      </c>
      <c r="M261" s="2">
        <v>9</v>
      </c>
    </row>
    <row r="262" spans="1:13" x14ac:dyDescent="0.5">
      <c r="A262" t="s">
        <v>214</v>
      </c>
      <c r="B262" s="2">
        <v>33</v>
      </c>
      <c r="C262" s="2" t="str" cm="1">
        <f t="array" ref="C262">_xlfn.IFS(B262&lt;25, "Youth (16–24)", B262&lt;35, "Young Adults (25–34)", B262&lt;45, "Adults (35–44)", B262&lt;55, "Middle-aged (45–54)")</f>
        <v>Young Adults (25–34)</v>
      </c>
      <c r="D262" t="s">
        <v>11</v>
      </c>
      <c r="E262" s="1">
        <v>4.8</v>
      </c>
      <c r="F262" s="1" t="str" cm="1">
        <f t="array" ref="F262">_xlfn.IFS(E262&lt;3, "Low (0–3 hrs)", E262&lt;6, "Moderate (3–6 hrs)", E262&lt;8, "High (6–8 hrs)", E262&gt;=8, "Very High (8+ hrs)")</f>
        <v>Moderate (3–6 hrs)</v>
      </c>
      <c r="G262" s="2">
        <v>5</v>
      </c>
      <c r="H262" s="2">
        <v>6</v>
      </c>
      <c r="I262" s="2">
        <v>4</v>
      </c>
      <c r="J262" s="2">
        <v>3</v>
      </c>
      <c r="K262" s="2" t="str" cm="1">
        <f t="array" ref="K262">_xlfn.IFS(Table1[[#This Row],[Exercise_Frequency(week)]]&lt;3, "Beginners (0–2 days)", Table1[[#This Row],[Exercise_Frequency(week)]]&lt;5, "Intermediate (3–4 days)", Table1[[#This Row],[Exercise_Frequency(week)]]&lt;8, "Advanced (5–7 days)")</f>
        <v>Intermediate (3–4 days)</v>
      </c>
      <c r="L262" t="s">
        <v>13</v>
      </c>
      <c r="M262" s="2">
        <v>9</v>
      </c>
    </row>
    <row r="263" spans="1:13" x14ac:dyDescent="0.5">
      <c r="A263" t="s">
        <v>230</v>
      </c>
      <c r="B263" s="2">
        <v>45</v>
      </c>
      <c r="C263" s="2" t="str" cm="1">
        <f t="array" ref="C263">_xlfn.IFS(B263&lt;25, "Youth (16–24)", B263&lt;35, "Young Adults (25–34)", B263&lt;45, "Adults (35–44)", B263&lt;55, "Middle-aged (45–54)")</f>
        <v>Middle-aged (45–54)</v>
      </c>
      <c r="D263" t="s">
        <v>16</v>
      </c>
      <c r="E263" s="1">
        <v>6</v>
      </c>
      <c r="F263" s="1" t="str" cm="1">
        <f t="array" ref="F263">_xlfn.IFS(E263&lt;3, "Low (0–3 hrs)", E263&lt;6, "Moderate (3–6 hrs)", E263&lt;8, "High (6–8 hrs)", E263&gt;=8, "Very High (8+ hrs)")</f>
        <v>High (6–8 hrs)</v>
      </c>
      <c r="G263" s="2">
        <v>8</v>
      </c>
      <c r="H263" s="2">
        <v>7</v>
      </c>
      <c r="I263" s="2">
        <v>2</v>
      </c>
      <c r="J263" s="2">
        <v>3</v>
      </c>
      <c r="K263" s="2" t="str" cm="1">
        <f t="array" ref="K263">_xlfn.IFS(Table1[[#This Row],[Exercise_Frequency(week)]]&lt;3, "Beginners (0–2 days)", Table1[[#This Row],[Exercise_Frequency(week)]]&lt;5, "Intermediate (3–4 days)", Table1[[#This Row],[Exercise_Frequency(week)]]&lt;8, "Advanced (5–7 days)")</f>
        <v>Intermediate (3–4 days)</v>
      </c>
      <c r="L263" t="s">
        <v>12</v>
      </c>
      <c r="M263" s="2">
        <v>9</v>
      </c>
    </row>
    <row r="264" spans="1:13" x14ac:dyDescent="0.5">
      <c r="A264" t="s">
        <v>256</v>
      </c>
      <c r="B264" s="2">
        <v>18</v>
      </c>
      <c r="C264" s="2" t="str" cm="1">
        <f t="array" ref="C264">_xlfn.IFS(B264&lt;25, "Youth (16–24)", B264&lt;35, "Young Adults (25–34)", B264&lt;45, "Adults (35–44)", B264&lt;55, "Middle-aged (45–54)")</f>
        <v>Youth (16–24)</v>
      </c>
      <c r="D264" t="s">
        <v>16</v>
      </c>
      <c r="E264" s="1">
        <v>4.5999999999999996</v>
      </c>
      <c r="F264" s="1" t="str" cm="1">
        <f t="array" ref="F264">_xlfn.IFS(E264&lt;3, "Low (0–3 hrs)", E264&lt;6, "Moderate (3–6 hrs)", E264&lt;8, "High (6–8 hrs)", E264&gt;=8, "Very High (8+ hrs)")</f>
        <v>Moderate (3–6 hrs)</v>
      </c>
      <c r="G264" s="2">
        <v>8</v>
      </c>
      <c r="H264" s="2">
        <v>7</v>
      </c>
      <c r="I264" s="2">
        <v>6</v>
      </c>
      <c r="J264" s="2">
        <v>3</v>
      </c>
      <c r="K264" s="2" t="str" cm="1">
        <f t="array" ref="K264">_xlfn.IFS(Table1[[#This Row],[Exercise_Frequency(week)]]&lt;3, "Beginners (0–2 days)", Table1[[#This Row],[Exercise_Frequency(week)]]&lt;5, "Intermediate (3–4 days)", Table1[[#This Row],[Exercise_Frequency(week)]]&lt;8, "Advanced (5–7 days)")</f>
        <v>Intermediate (3–4 days)</v>
      </c>
      <c r="L264" t="s">
        <v>17</v>
      </c>
      <c r="M264" s="2">
        <v>9</v>
      </c>
    </row>
    <row r="265" spans="1:13" x14ac:dyDescent="0.5">
      <c r="A265" t="s">
        <v>287</v>
      </c>
      <c r="B265" s="2">
        <v>49</v>
      </c>
      <c r="C265" s="2" t="str" cm="1">
        <f t="array" ref="C265">_xlfn.IFS(B265&lt;25, "Youth (16–24)", B265&lt;35, "Young Adults (25–34)", B265&lt;45, "Adults (35–44)", B265&lt;55, "Middle-aged (45–54)")</f>
        <v>Middle-aged (45–54)</v>
      </c>
      <c r="D265" t="s">
        <v>11</v>
      </c>
      <c r="E265" s="1">
        <v>6.1</v>
      </c>
      <c r="F265" s="1" t="str" cm="1">
        <f t="array" ref="F265">_xlfn.IFS(E265&lt;3, "Low (0–3 hrs)", E265&lt;6, "Moderate (3–6 hrs)", E265&lt;8, "High (6–8 hrs)", E265&gt;=8, "Very High (8+ hrs)")</f>
        <v>High (6–8 hrs)</v>
      </c>
      <c r="G265" s="2">
        <v>5</v>
      </c>
      <c r="H265" s="2">
        <v>6</v>
      </c>
      <c r="I265" s="2">
        <v>4</v>
      </c>
      <c r="J265" s="2">
        <v>3</v>
      </c>
      <c r="K265" s="2" t="str" cm="1">
        <f t="array" ref="K265">_xlfn.IFS(Table1[[#This Row],[Exercise_Frequency(week)]]&lt;3, "Beginners (0–2 days)", Table1[[#This Row],[Exercise_Frequency(week)]]&lt;5, "Intermediate (3–4 days)", Table1[[#This Row],[Exercise_Frequency(week)]]&lt;8, "Advanced (5–7 days)")</f>
        <v>Intermediate (3–4 days)</v>
      </c>
      <c r="L265" t="s">
        <v>13</v>
      </c>
      <c r="M265" s="2">
        <v>9</v>
      </c>
    </row>
    <row r="266" spans="1:13" x14ac:dyDescent="0.5">
      <c r="A266" t="s">
        <v>311</v>
      </c>
      <c r="B266" s="2">
        <v>41</v>
      </c>
      <c r="C266" s="2" t="str" cm="1">
        <f t="array" ref="C266">_xlfn.IFS(B266&lt;25, "Youth (16–24)", B266&lt;35, "Young Adults (25–34)", B266&lt;45, "Adults (35–44)", B266&lt;55, "Middle-aged (45–54)")</f>
        <v>Adults (35–44)</v>
      </c>
      <c r="D266" t="s">
        <v>16</v>
      </c>
      <c r="E266" s="1">
        <v>4.9000000000000004</v>
      </c>
      <c r="F266" s="1" t="str" cm="1">
        <f t="array" ref="F266">_xlfn.IFS(E266&lt;3, "Low (0–3 hrs)", E266&lt;6, "Moderate (3–6 hrs)", E266&lt;8, "High (6–8 hrs)", E266&gt;=8, "Very High (8+ hrs)")</f>
        <v>Moderate (3–6 hrs)</v>
      </c>
      <c r="G266" s="2">
        <v>7</v>
      </c>
      <c r="H266" s="2">
        <v>6</v>
      </c>
      <c r="I266" s="2">
        <v>3</v>
      </c>
      <c r="J266" s="2">
        <v>3</v>
      </c>
      <c r="K266" s="2" t="str" cm="1">
        <f t="array" ref="K266">_xlfn.IFS(Table1[[#This Row],[Exercise_Frequency(week)]]&lt;3, "Beginners (0–2 days)", Table1[[#This Row],[Exercise_Frequency(week)]]&lt;5, "Intermediate (3–4 days)", Table1[[#This Row],[Exercise_Frequency(week)]]&lt;8, "Advanced (5–7 days)")</f>
        <v>Intermediate (3–4 days)</v>
      </c>
      <c r="L266" t="s">
        <v>17</v>
      </c>
      <c r="M266" s="2">
        <v>9</v>
      </c>
    </row>
    <row r="267" spans="1:13" x14ac:dyDescent="0.5">
      <c r="A267" t="s">
        <v>323</v>
      </c>
      <c r="B267" s="2">
        <v>44</v>
      </c>
      <c r="C267" s="2" t="str" cm="1">
        <f t="array" ref="C267">_xlfn.IFS(B267&lt;25, "Youth (16–24)", B267&lt;35, "Young Adults (25–34)", B267&lt;45, "Adults (35–44)", B267&lt;55, "Middle-aged (45–54)")</f>
        <v>Adults (35–44)</v>
      </c>
      <c r="D267" t="s">
        <v>16</v>
      </c>
      <c r="E267" s="1">
        <v>7.5</v>
      </c>
      <c r="F267" s="1" t="str" cm="1">
        <f t="array" ref="F267">_xlfn.IFS(E267&lt;3, "Low (0–3 hrs)", E267&lt;6, "Moderate (3–6 hrs)", E267&lt;8, "High (6–8 hrs)", E267&gt;=8, "Very High (8+ hrs)")</f>
        <v>High (6–8 hrs)</v>
      </c>
      <c r="G267" s="2">
        <v>7</v>
      </c>
      <c r="H267" s="2">
        <v>8</v>
      </c>
      <c r="I267" s="2">
        <v>4</v>
      </c>
      <c r="J267" s="2">
        <v>3</v>
      </c>
      <c r="K267" s="2" t="str" cm="1">
        <f t="array" ref="K267">_xlfn.IFS(Table1[[#This Row],[Exercise_Frequency(week)]]&lt;3, "Beginners (0–2 days)", Table1[[#This Row],[Exercise_Frequency(week)]]&lt;5, "Intermediate (3–4 days)", Table1[[#This Row],[Exercise_Frequency(week)]]&lt;8, "Advanced (5–7 days)")</f>
        <v>Intermediate (3–4 days)</v>
      </c>
      <c r="L267" t="s">
        <v>14</v>
      </c>
      <c r="M267" s="2">
        <v>9</v>
      </c>
    </row>
    <row r="268" spans="1:13" x14ac:dyDescent="0.5">
      <c r="A268" t="s">
        <v>349</v>
      </c>
      <c r="B268" s="2">
        <v>20</v>
      </c>
      <c r="C268" s="2" t="str" cm="1">
        <f t="array" ref="C268">_xlfn.IFS(B268&lt;25, "Youth (16–24)", B268&lt;35, "Young Adults (25–34)", B268&lt;45, "Adults (35–44)", B268&lt;55, "Middle-aged (45–54)")</f>
        <v>Youth (16–24)</v>
      </c>
      <c r="D268" t="s">
        <v>16</v>
      </c>
      <c r="E268" s="1">
        <v>5</v>
      </c>
      <c r="F268" s="1" t="str" cm="1">
        <f t="array" ref="F268">_xlfn.IFS(E268&lt;3, "Low (0–3 hrs)", E268&lt;6, "Moderate (3–6 hrs)", E268&lt;8, "High (6–8 hrs)", E268&gt;=8, "Very High (8+ hrs)")</f>
        <v>Moderate (3–6 hrs)</v>
      </c>
      <c r="G268" s="2">
        <v>6</v>
      </c>
      <c r="H268" s="2">
        <v>5</v>
      </c>
      <c r="I268" s="2">
        <v>3</v>
      </c>
      <c r="J268" s="2">
        <v>3</v>
      </c>
      <c r="K268" s="2" t="str" cm="1">
        <f t="array" ref="K268">_xlfn.IFS(Table1[[#This Row],[Exercise_Frequency(week)]]&lt;3, "Beginners (0–2 days)", Table1[[#This Row],[Exercise_Frequency(week)]]&lt;5, "Intermediate (3–4 days)", Table1[[#This Row],[Exercise_Frequency(week)]]&lt;8, "Advanced (5–7 days)")</f>
        <v>Intermediate (3–4 days)</v>
      </c>
      <c r="L268" t="s">
        <v>14</v>
      </c>
      <c r="M268" s="2">
        <v>9</v>
      </c>
    </row>
    <row r="269" spans="1:13" x14ac:dyDescent="0.5">
      <c r="A269" t="s">
        <v>350</v>
      </c>
      <c r="B269" s="2">
        <v>19</v>
      </c>
      <c r="C269" s="2" t="str" cm="1">
        <f t="array" ref="C269">_xlfn.IFS(B269&lt;25, "Youth (16–24)", B269&lt;35, "Young Adults (25–34)", B269&lt;45, "Adults (35–44)", B269&lt;55, "Middle-aged (45–54)")</f>
        <v>Youth (16–24)</v>
      </c>
      <c r="D269" t="s">
        <v>16</v>
      </c>
      <c r="E269" s="1">
        <v>6.1</v>
      </c>
      <c r="F269" s="1" t="str" cm="1">
        <f t="array" ref="F269">_xlfn.IFS(E269&lt;3, "Low (0–3 hrs)", E269&lt;6, "Moderate (3–6 hrs)", E269&lt;8, "High (6–8 hrs)", E269&gt;=8, "Very High (8+ hrs)")</f>
        <v>High (6–8 hrs)</v>
      </c>
      <c r="G269" s="2">
        <v>6</v>
      </c>
      <c r="H269" s="2">
        <v>8</v>
      </c>
      <c r="I269" s="2">
        <v>3</v>
      </c>
      <c r="J269" s="2">
        <v>3</v>
      </c>
      <c r="K269" s="2" t="str" cm="1">
        <f t="array" ref="K269">_xlfn.IFS(Table1[[#This Row],[Exercise_Frequency(week)]]&lt;3, "Beginners (0–2 days)", Table1[[#This Row],[Exercise_Frequency(week)]]&lt;5, "Intermediate (3–4 days)", Table1[[#This Row],[Exercise_Frequency(week)]]&lt;8, "Advanced (5–7 days)")</f>
        <v>Intermediate (3–4 days)</v>
      </c>
      <c r="L269" t="s">
        <v>19</v>
      </c>
      <c r="M269" s="2">
        <v>9</v>
      </c>
    </row>
    <row r="270" spans="1:13" x14ac:dyDescent="0.5">
      <c r="A270" t="s">
        <v>362</v>
      </c>
      <c r="B270" s="2">
        <v>48</v>
      </c>
      <c r="C270" s="2" t="str" cm="1">
        <f t="array" ref="C270">_xlfn.IFS(B270&lt;25, "Youth (16–24)", B270&lt;35, "Young Adults (25–34)", B270&lt;45, "Adults (35–44)", B270&lt;55, "Middle-aged (45–54)")</f>
        <v>Middle-aged (45–54)</v>
      </c>
      <c r="D270" t="s">
        <v>11</v>
      </c>
      <c r="E270" s="1">
        <v>5.7</v>
      </c>
      <c r="F270" s="1" t="str" cm="1">
        <f t="array" ref="F270">_xlfn.IFS(E270&lt;3, "Low (0–3 hrs)", E270&lt;6, "Moderate (3–6 hrs)", E270&lt;8, "High (6–8 hrs)", E270&gt;=8, "Very High (8+ hrs)")</f>
        <v>Moderate (3–6 hrs)</v>
      </c>
      <c r="G270" s="2">
        <v>7</v>
      </c>
      <c r="H270" s="2">
        <v>7</v>
      </c>
      <c r="I270" s="2">
        <v>1</v>
      </c>
      <c r="J270" s="2">
        <v>3</v>
      </c>
      <c r="K270" s="2" t="str" cm="1">
        <f t="array" ref="K270">_xlfn.IFS(Table1[[#This Row],[Exercise_Frequency(week)]]&lt;3, "Beginners (0–2 days)", Table1[[#This Row],[Exercise_Frequency(week)]]&lt;5, "Intermediate (3–4 days)", Table1[[#This Row],[Exercise_Frequency(week)]]&lt;8, "Advanced (5–7 days)")</f>
        <v>Intermediate (3–4 days)</v>
      </c>
      <c r="L270" t="s">
        <v>12</v>
      </c>
      <c r="M270" s="2">
        <v>9</v>
      </c>
    </row>
    <row r="271" spans="1:13" x14ac:dyDescent="0.5">
      <c r="A271" t="s">
        <v>406</v>
      </c>
      <c r="B271" s="2">
        <v>27</v>
      </c>
      <c r="C271" s="2" t="str" cm="1">
        <f t="array" ref="C271">_xlfn.IFS(B271&lt;25, "Youth (16–24)", B271&lt;35, "Young Adults (25–34)", B271&lt;45, "Adults (35–44)", B271&lt;55, "Middle-aged (45–54)")</f>
        <v>Young Adults (25–34)</v>
      </c>
      <c r="D271" t="s">
        <v>16</v>
      </c>
      <c r="E271" s="1">
        <v>5.2</v>
      </c>
      <c r="F271" s="1" t="str" cm="1">
        <f t="array" ref="F271">_xlfn.IFS(E271&lt;3, "Low (0–3 hrs)", E271&lt;6, "Moderate (3–6 hrs)", E271&lt;8, "High (6–8 hrs)", E271&gt;=8, "Very High (8+ hrs)")</f>
        <v>Moderate (3–6 hrs)</v>
      </c>
      <c r="G271" s="2">
        <v>4</v>
      </c>
      <c r="H271" s="2">
        <v>7</v>
      </c>
      <c r="I271" s="2">
        <v>7</v>
      </c>
      <c r="J271" s="2">
        <v>3</v>
      </c>
      <c r="K271" s="2" t="str" cm="1">
        <f t="array" ref="K271">_xlfn.IFS(Table1[[#This Row],[Exercise_Frequency(week)]]&lt;3, "Beginners (0–2 days)", Table1[[#This Row],[Exercise_Frequency(week)]]&lt;5, "Intermediate (3–4 days)", Table1[[#This Row],[Exercise_Frequency(week)]]&lt;8, "Advanced (5–7 days)")</f>
        <v>Intermediate (3–4 days)</v>
      </c>
      <c r="L271" t="s">
        <v>17</v>
      </c>
      <c r="M271" s="2">
        <v>9</v>
      </c>
    </row>
    <row r="272" spans="1:13" x14ac:dyDescent="0.5">
      <c r="A272" t="s">
        <v>411</v>
      </c>
      <c r="B272" s="2">
        <v>43</v>
      </c>
      <c r="C272" s="2" t="str" cm="1">
        <f t="array" ref="C272">_xlfn.IFS(B272&lt;25, "Youth (16–24)", B272&lt;35, "Young Adults (25–34)", B272&lt;45, "Adults (35–44)", B272&lt;55, "Middle-aged (45–54)")</f>
        <v>Adults (35–44)</v>
      </c>
      <c r="D272" t="s">
        <v>11</v>
      </c>
      <c r="E272" s="1">
        <v>5.8</v>
      </c>
      <c r="F272" s="1" t="str" cm="1">
        <f t="array" ref="F272">_xlfn.IFS(E272&lt;3, "Low (0–3 hrs)", E272&lt;6, "Moderate (3–6 hrs)", E272&lt;8, "High (6–8 hrs)", E272&gt;=8, "Very High (8+ hrs)")</f>
        <v>Moderate (3–6 hrs)</v>
      </c>
      <c r="G272" s="2">
        <v>6</v>
      </c>
      <c r="H272" s="2">
        <v>7</v>
      </c>
      <c r="I272" s="2">
        <v>4</v>
      </c>
      <c r="J272" s="2">
        <v>3</v>
      </c>
      <c r="K272" s="2" t="str" cm="1">
        <f t="array" ref="K272">_xlfn.IFS(Table1[[#This Row],[Exercise_Frequency(week)]]&lt;3, "Beginners (0–2 days)", Table1[[#This Row],[Exercise_Frequency(week)]]&lt;5, "Intermediate (3–4 days)", Table1[[#This Row],[Exercise_Frequency(week)]]&lt;8, "Advanced (5–7 days)")</f>
        <v>Intermediate (3–4 days)</v>
      </c>
      <c r="L272" t="s">
        <v>13</v>
      </c>
      <c r="M272" s="2">
        <v>9</v>
      </c>
    </row>
    <row r="273" spans="1:13" x14ac:dyDescent="0.5">
      <c r="A273" t="s">
        <v>432</v>
      </c>
      <c r="B273" s="2">
        <v>28</v>
      </c>
      <c r="C273" s="2" t="str" cm="1">
        <f t="array" ref="C273">_xlfn.IFS(B273&lt;25, "Youth (16–24)", B273&lt;35, "Young Adults (25–34)", B273&lt;45, "Adults (35–44)", B273&lt;55, "Middle-aged (45–54)")</f>
        <v>Young Adults (25–34)</v>
      </c>
      <c r="D273" t="s">
        <v>11</v>
      </c>
      <c r="E273" s="1">
        <v>4</v>
      </c>
      <c r="F273" s="1" t="str" cm="1">
        <f t="array" ref="F273">_xlfn.IFS(E273&lt;3, "Low (0–3 hrs)", E273&lt;6, "Moderate (3–6 hrs)", E273&lt;8, "High (6–8 hrs)", E273&gt;=8, "Very High (8+ hrs)")</f>
        <v>Moderate (3–6 hrs)</v>
      </c>
      <c r="G273" s="2">
        <v>7</v>
      </c>
      <c r="H273" s="2">
        <v>5</v>
      </c>
      <c r="I273" s="2">
        <v>1</v>
      </c>
      <c r="J273" s="2">
        <v>3</v>
      </c>
      <c r="K273" s="2" t="str" cm="1">
        <f t="array" ref="K273">_xlfn.IFS(Table1[[#This Row],[Exercise_Frequency(week)]]&lt;3, "Beginners (0–2 days)", Table1[[#This Row],[Exercise_Frequency(week)]]&lt;5, "Intermediate (3–4 days)", Table1[[#This Row],[Exercise_Frequency(week)]]&lt;8, "Advanced (5–7 days)")</f>
        <v>Intermediate (3–4 days)</v>
      </c>
      <c r="L273" t="s">
        <v>13</v>
      </c>
      <c r="M273" s="2">
        <v>9</v>
      </c>
    </row>
    <row r="274" spans="1:13" x14ac:dyDescent="0.5">
      <c r="A274" t="s">
        <v>33</v>
      </c>
      <c r="B274" s="2">
        <v>27</v>
      </c>
      <c r="C274" s="2" t="str" cm="1">
        <f t="array" ref="C274">_xlfn.IFS(B274&lt;25, "Youth (16–24)", B274&lt;35, "Young Adults (25–34)", B274&lt;45, "Adults (35–44)", B274&lt;55, "Middle-aged (45–54)")</f>
        <v>Young Adults (25–34)</v>
      </c>
      <c r="D274" t="s">
        <v>11</v>
      </c>
      <c r="E274" s="1">
        <v>4.7</v>
      </c>
      <c r="F274" s="1" t="str" cm="1">
        <f t="array" ref="F274">_xlfn.IFS(E274&lt;3, "Low (0–3 hrs)", E274&lt;6, "Moderate (3–6 hrs)", E274&lt;8, "High (6–8 hrs)", E274&gt;=8, "Very High (8+ hrs)")</f>
        <v>Moderate (3–6 hrs)</v>
      </c>
      <c r="G274" s="2">
        <v>6</v>
      </c>
      <c r="H274" s="2">
        <v>6</v>
      </c>
      <c r="I274" s="2">
        <v>0</v>
      </c>
      <c r="J274" s="2">
        <v>2</v>
      </c>
      <c r="K274" s="2" t="str" cm="1">
        <f t="array" ref="K274">_xlfn.IFS(Table1[[#This Row],[Exercise_Frequency(week)]]&lt;3, "Beginners (0–2 days)", Table1[[#This Row],[Exercise_Frequency(week)]]&lt;5, "Intermediate (3–4 days)", Table1[[#This Row],[Exercise_Frequency(week)]]&lt;8, "Advanced (5–7 days)")</f>
        <v>Beginners (0–2 days)</v>
      </c>
      <c r="L274" t="s">
        <v>23</v>
      </c>
      <c r="M274" s="2">
        <v>9</v>
      </c>
    </row>
    <row r="275" spans="1:13" x14ac:dyDescent="0.5">
      <c r="A275" t="s">
        <v>43</v>
      </c>
      <c r="B275" s="2">
        <v>19</v>
      </c>
      <c r="C275" s="2" t="str" cm="1">
        <f t="array" ref="C275">_xlfn.IFS(B275&lt;25, "Youth (16–24)", B275&lt;35, "Young Adults (25–34)", B275&lt;45, "Adults (35–44)", B275&lt;55, "Middle-aged (45–54)")</f>
        <v>Youth (16–24)</v>
      </c>
      <c r="D275" t="s">
        <v>11</v>
      </c>
      <c r="E275" s="1">
        <v>7.1</v>
      </c>
      <c r="F275" s="1" t="str" cm="1">
        <f t="array" ref="F275">_xlfn.IFS(E275&lt;3, "Low (0–3 hrs)", E275&lt;6, "Moderate (3–6 hrs)", E275&lt;8, "High (6–8 hrs)", E275&gt;=8, "Very High (8+ hrs)")</f>
        <v>High (6–8 hrs)</v>
      </c>
      <c r="G275" s="2">
        <v>5</v>
      </c>
      <c r="H275" s="2">
        <v>8</v>
      </c>
      <c r="I275" s="2">
        <v>5</v>
      </c>
      <c r="J275" s="2">
        <v>2</v>
      </c>
      <c r="K275" s="2" t="str" cm="1">
        <f t="array" ref="K275">_xlfn.IFS(Table1[[#This Row],[Exercise_Frequency(week)]]&lt;3, "Beginners (0–2 days)", Table1[[#This Row],[Exercise_Frequency(week)]]&lt;5, "Intermediate (3–4 days)", Table1[[#This Row],[Exercise_Frequency(week)]]&lt;8, "Advanced (5–7 days)")</f>
        <v>Beginners (0–2 days)</v>
      </c>
      <c r="L275" t="s">
        <v>19</v>
      </c>
      <c r="M275" s="2">
        <v>9</v>
      </c>
    </row>
    <row r="276" spans="1:13" x14ac:dyDescent="0.5">
      <c r="A276" t="s">
        <v>92</v>
      </c>
      <c r="B276" s="2">
        <v>38</v>
      </c>
      <c r="C276" s="2" t="str" cm="1">
        <f t="array" ref="C276">_xlfn.IFS(B276&lt;25, "Youth (16–24)", B276&lt;35, "Young Adults (25–34)", B276&lt;45, "Adults (35–44)", B276&lt;55, "Middle-aged (45–54)")</f>
        <v>Adults (35–44)</v>
      </c>
      <c r="D276" t="s">
        <v>16</v>
      </c>
      <c r="E276" s="1">
        <v>5.7</v>
      </c>
      <c r="F276" s="1" t="str" cm="1">
        <f t="array" ref="F276">_xlfn.IFS(E276&lt;3, "Low (0–3 hrs)", E276&lt;6, "Moderate (3–6 hrs)", E276&lt;8, "High (6–8 hrs)", E276&gt;=8, "Very High (8+ hrs)")</f>
        <v>Moderate (3–6 hrs)</v>
      </c>
      <c r="G276" s="2">
        <v>5</v>
      </c>
      <c r="H276" s="2">
        <v>6</v>
      </c>
      <c r="I276" s="2">
        <v>3</v>
      </c>
      <c r="J276" s="2">
        <v>2</v>
      </c>
      <c r="K276" s="2" t="str" cm="1">
        <f t="array" ref="K276">_xlfn.IFS(Table1[[#This Row],[Exercise_Frequency(week)]]&lt;3, "Beginners (0–2 days)", Table1[[#This Row],[Exercise_Frequency(week)]]&lt;5, "Intermediate (3–4 days)", Table1[[#This Row],[Exercise_Frequency(week)]]&lt;8, "Advanced (5–7 days)")</f>
        <v>Beginners (0–2 days)</v>
      </c>
      <c r="L276" t="s">
        <v>17</v>
      </c>
      <c r="M276" s="2">
        <v>9</v>
      </c>
    </row>
    <row r="277" spans="1:13" x14ac:dyDescent="0.5">
      <c r="A277" t="s">
        <v>98</v>
      </c>
      <c r="B277" s="2">
        <v>18</v>
      </c>
      <c r="C277" s="2" t="str" cm="1">
        <f t="array" ref="C277">_xlfn.IFS(B277&lt;25, "Youth (16–24)", B277&lt;35, "Young Adults (25–34)", B277&lt;45, "Adults (35–44)", B277&lt;55, "Middle-aged (45–54)")</f>
        <v>Youth (16–24)</v>
      </c>
      <c r="D277" t="s">
        <v>11</v>
      </c>
      <c r="E277" s="1">
        <v>5.5</v>
      </c>
      <c r="F277" s="1" t="str" cm="1">
        <f t="array" ref="F277">_xlfn.IFS(E277&lt;3, "Low (0–3 hrs)", E277&lt;6, "Moderate (3–6 hrs)", E277&lt;8, "High (6–8 hrs)", E277&gt;=8, "Very High (8+ hrs)")</f>
        <v>Moderate (3–6 hrs)</v>
      </c>
      <c r="G277" s="2">
        <v>6</v>
      </c>
      <c r="H277" s="2">
        <v>6</v>
      </c>
      <c r="I277" s="2">
        <v>4</v>
      </c>
      <c r="J277" s="2">
        <v>2</v>
      </c>
      <c r="K277" s="2" t="str" cm="1">
        <f t="array" ref="K277">_xlfn.IFS(Table1[[#This Row],[Exercise_Frequency(week)]]&lt;3, "Beginners (0–2 days)", Table1[[#This Row],[Exercise_Frequency(week)]]&lt;5, "Intermediate (3–4 days)", Table1[[#This Row],[Exercise_Frequency(week)]]&lt;8, "Advanced (5–7 days)")</f>
        <v>Beginners (0–2 days)</v>
      </c>
      <c r="L277" t="s">
        <v>13</v>
      </c>
      <c r="M277" s="2">
        <v>9</v>
      </c>
    </row>
    <row r="278" spans="1:13" x14ac:dyDescent="0.5">
      <c r="A278" t="s">
        <v>99</v>
      </c>
      <c r="B278" s="2">
        <v>16</v>
      </c>
      <c r="C278" s="2" t="str" cm="1">
        <f t="array" ref="C278">_xlfn.IFS(B278&lt;25, "Youth (16–24)", B278&lt;35, "Young Adults (25–34)", B278&lt;45, "Adults (35–44)", B278&lt;55, "Middle-aged (45–54)")</f>
        <v>Youth (16–24)</v>
      </c>
      <c r="D278" t="s">
        <v>11</v>
      </c>
      <c r="E278" s="1">
        <v>6.8</v>
      </c>
      <c r="F278" s="1" t="str" cm="1">
        <f t="array" ref="F278">_xlfn.IFS(E278&lt;3, "Low (0–3 hrs)", E278&lt;6, "Moderate (3–6 hrs)", E278&lt;8, "High (6–8 hrs)", E278&gt;=8, "Very High (8+ hrs)")</f>
        <v>High (6–8 hrs)</v>
      </c>
      <c r="G278" s="2">
        <v>7</v>
      </c>
      <c r="H278" s="2">
        <v>6</v>
      </c>
      <c r="I278" s="2">
        <v>6</v>
      </c>
      <c r="J278" s="2">
        <v>2</v>
      </c>
      <c r="K278" s="2" t="str" cm="1">
        <f t="array" ref="K278">_xlfn.IFS(Table1[[#This Row],[Exercise_Frequency(week)]]&lt;3, "Beginners (0–2 days)", Table1[[#This Row],[Exercise_Frequency(week)]]&lt;5, "Intermediate (3–4 days)", Table1[[#This Row],[Exercise_Frequency(week)]]&lt;8, "Advanced (5–7 days)")</f>
        <v>Beginners (0–2 days)</v>
      </c>
      <c r="L278" t="s">
        <v>13</v>
      </c>
      <c r="M278" s="2">
        <v>9</v>
      </c>
    </row>
    <row r="279" spans="1:13" x14ac:dyDescent="0.5">
      <c r="A279" t="s">
        <v>110</v>
      </c>
      <c r="B279" s="2">
        <v>47</v>
      </c>
      <c r="C279" s="2" t="str" cm="1">
        <f t="array" ref="C279">_xlfn.IFS(B279&lt;25, "Youth (16–24)", B279&lt;35, "Young Adults (25–34)", B279&lt;45, "Adults (35–44)", B279&lt;55, "Middle-aged (45–54)")</f>
        <v>Middle-aged (45–54)</v>
      </c>
      <c r="D279" t="s">
        <v>11</v>
      </c>
      <c r="E279" s="1">
        <v>6</v>
      </c>
      <c r="F279" s="1" t="str" cm="1">
        <f t="array" ref="F279">_xlfn.IFS(E279&lt;3, "Low (0–3 hrs)", E279&lt;6, "Moderate (3–6 hrs)", E279&lt;8, "High (6–8 hrs)", E279&gt;=8, "Very High (8+ hrs)")</f>
        <v>High (6–8 hrs)</v>
      </c>
      <c r="G279" s="2">
        <v>6</v>
      </c>
      <c r="H279" s="2">
        <v>7</v>
      </c>
      <c r="I279" s="2">
        <v>6</v>
      </c>
      <c r="J279" s="2">
        <v>2</v>
      </c>
      <c r="K279" s="2" t="str" cm="1">
        <f t="array" ref="K279">_xlfn.IFS(Table1[[#This Row],[Exercise_Frequency(week)]]&lt;3, "Beginners (0–2 days)", Table1[[#This Row],[Exercise_Frequency(week)]]&lt;5, "Intermediate (3–4 days)", Table1[[#This Row],[Exercise_Frequency(week)]]&lt;8, "Advanced (5–7 days)")</f>
        <v>Beginners (0–2 days)</v>
      </c>
      <c r="L279" t="s">
        <v>12</v>
      </c>
      <c r="M279" s="2">
        <v>9</v>
      </c>
    </row>
    <row r="280" spans="1:13" x14ac:dyDescent="0.5">
      <c r="A280" t="s">
        <v>127</v>
      </c>
      <c r="B280" s="2">
        <v>26</v>
      </c>
      <c r="C280" s="2" t="str" cm="1">
        <f t="array" ref="C280">_xlfn.IFS(B280&lt;25, "Youth (16–24)", B280&lt;35, "Young Adults (25–34)", B280&lt;45, "Adults (35–44)", B280&lt;55, "Middle-aged (45–54)")</f>
        <v>Young Adults (25–34)</v>
      </c>
      <c r="D280" t="s">
        <v>11</v>
      </c>
      <c r="E280" s="1">
        <v>5.0999999999999996</v>
      </c>
      <c r="F280" s="1" t="str" cm="1">
        <f t="array" ref="F280">_xlfn.IFS(E280&lt;3, "Low (0–3 hrs)", E280&lt;6, "Moderate (3–6 hrs)", E280&lt;8, "High (6–8 hrs)", E280&gt;=8, "Very High (8+ hrs)")</f>
        <v>Moderate (3–6 hrs)</v>
      </c>
      <c r="G280" s="2">
        <v>6</v>
      </c>
      <c r="H280" s="2">
        <v>5</v>
      </c>
      <c r="I280" s="2">
        <v>5</v>
      </c>
      <c r="J280" s="2">
        <v>2</v>
      </c>
      <c r="K280" s="2" t="str" cm="1">
        <f t="array" ref="K280">_xlfn.IFS(Table1[[#This Row],[Exercise_Frequency(week)]]&lt;3, "Beginners (0–2 days)", Table1[[#This Row],[Exercise_Frequency(week)]]&lt;5, "Intermediate (3–4 days)", Table1[[#This Row],[Exercise_Frequency(week)]]&lt;8, "Advanced (5–7 days)")</f>
        <v>Beginners (0–2 days)</v>
      </c>
      <c r="L280" t="s">
        <v>19</v>
      </c>
      <c r="M280" s="2">
        <v>9</v>
      </c>
    </row>
    <row r="281" spans="1:13" x14ac:dyDescent="0.5">
      <c r="A281" t="s">
        <v>151</v>
      </c>
      <c r="B281" s="2">
        <v>43</v>
      </c>
      <c r="C281" s="2" t="str" cm="1">
        <f t="array" ref="C281">_xlfn.IFS(B281&lt;25, "Youth (16–24)", B281&lt;35, "Young Adults (25–34)", B281&lt;45, "Adults (35–44)", B281&lt;55, "Middle-aged (45–54)")</f>
        <v>Adults (35–44)</v>
      </c>
      <c r="D281" t="s">
        <v>11</v>
      </c>
      <c r="E281" s="1">
        <v>4.5999999999999996</v>
      </c>
      <c r="F281" s="1" t="str" cm="1">
        <f t="array" ref="F281">_xlfn.IFS(E281&lt;3, "Low (0–3 hrs)", E281&lt;6, "Moderate (3–6 hrs)", E281&lt;8, "High (6–8 hrs)", E281&gt;=8, "Very High (8+ hrs)")</f>
        <v>Moderate (3–6 hrs)</v>
      </c>
      <c r="G281" s="2">
        <v>8</v>
      </c>
      <c r="H281" s="2">
        <v>7</v>
      </c>
      <c r="I281" s="2">
        <v>0</v>
      </c>
      <c r="J281" s="2">
        <v>2</v>
      </c>
      <c r="K281" s="2" t="str" cm="1">
        <f t="array" ref="K281">_xlfn.IFS(Table1[[#This Row],[Exercise_Frequency(week)]]&lt;3, "Beginners (0–2 days)", Table1[[#This Row],[Exercise_Frequency(week)]]&lt;5, "Intermediate (3–4 days)", Table1[[#This Row],[Exercise_Frequency(week)]]&lt;8, "Advanced (5–7 days)")</f>
        <v>Beginners (0–2 days)</v>
      </c>
      <c r="L281" t="s">
        <v>17</v>
      </c>
      <c r="M281" s="2">
        <v>9</v>
      </c>
    </row>
    <row r="282" spans="1:13" x14ac:dyDescent="0.5">
      <c r="A282" t="s">
        <v>212</v>
      </c>
      <c r="B282" s="2">
        <v>44</v>
      </c>
      <c r="C282" s="2" t="str" cm="1">
        <f t="array" ref="C282">_xlfn.IFS(B282&lt;25, "Youth (16–24)", B282&lt;35, "Young Adults (25–34)", B282&lt;45, "Adults (35–44)", B282&lt;55, "Middle-aged (45–54)")</f>
        <v>Adults (35–44)</v>
      </c>
      <c r="D282" t="s">
        <v>11</v>
      </c>
      <c r="E282" s="1">
        <v>4.5</v>
      </c>
      <c r="F282" s="1" t="str" cm="1">
        <f t="array" ref="F282">_xlfn.IFS(E282&lt;3, "Low (0–3 hrs)", E282&lt;6, "Moderate (3–6 hrs)", E282&lt;8, "High (6–8 hrs)", E282&gt;=8, "Very High (8+ hrs)")</f>
        <v>Moderate (3–6 hrs)</v>
      </c>
      <c r="G282" s="2">
        <v>6</v>
      </c>
      <c r="H282" s="2">
        <v>6</v>
      </c>
      <c r="I282" s="2">
        <v>0</v>
      </c>
      <c r="J282" s="2">
        <v>2</v>
      </c>
      <c r="K282" s="2" t="str" cm="1">
        <f t="array" ref="K282">_xlfn.IFS(Table1[[#This Row],[Exercise_Frequency(week)]]&lt;3, "Beginners (0–2 days)", Table1[[#This Row],[Exercise_Frequency(week)]]&lt;5, "Intermediate (3–4 days)", Table1[[#This Row],[Exercise_Frequency(week)]]&lt;8, "Advanced (5–7 days)")</f>
        <v>Beginners (0–2 days)</v>
      </c>
      <c r="L282" t="s">
        <v>23</v>
      </c>
      <c r="M282" s="2">
        <v>9</v>
      </c>
    </row>
    <row r="283" spans="1:13" x14ac:dyDescent="0.5">
      <c r="A283" t="s">
        <v>222</v>
      </c>
      <c r="B283" s="2">
        <v>35</v>
      </c>
      <c r="C283" s="2" t="str" cm="1">
        <f t="array" ref="C283">_xlfn.IFS(B283&lt;25, "Youth (16–24)", B283&lt;35, "Young Adults (25–34)", B283&lt;45, "Adults (35–44)", B283&lt;55, "Middle-aged (45–54)")</f>
        <v>Adults (35–44)</v>
      </c>
      <c r="D283" t="s">
        <v>16</v>
      </c>
      <c r="E283" s="1">
        <v>5.3</v>
      </c>
      <c r="F283" s="1" t="str" cm="1">
        <f t="array" ref="F283">_xlfn.IFS(E283&lt;3, "Low (0–3 hrs)", E283&lt;6, "Moderate (3–6 hrs)", E283&lt;8, "High (6–8 hrs)", E283&gt;=8, "Very High (8+ hrs)")</f>
        <v>Moderate (3–6 hrs)</v>
      </c>
      <c r="G283" s="2">
        <v>6</v>
      </c>
      <c r="H283" s="2">
        <v>6</v>
      </c>
      <c r="I283" s="2">
        <v>3</v>
      </c>
      <c r="J283" s="2">
        <v>2</v>
      </c>
      <c r="K283" s="2" t="str" cm="1">
        <f t="array" ref="K283">_xlfn.IFS(Table1[[#This Row],[Exercise_Frequency(week)]]&lt;3, "Beginners (0–2 days)", Table1[[#This Row],[Exercise_Frequency(week)]]&lt;5, "Intermediate (3–4 days)", Table1[[#This Row],[Exercise_Frequency(week)]]&lt;8, "Advanced (5–7 days)")</f>
        <v>Beginners (0–2 days)</v>
      </c>
      <c r="L283" t="s">
        <v>19</v>
      </c>
      <c r="M283" s="2">
        <v>9</v>
      </c>
    </row>
    <row r="284" spans="1:13" x14ac:dyDescent="0.5">
      <c r="A284" t="s">
        <v>238</v>
      </c>
      <c r="B284" s="2">
        <v>43</v>
      </c>
      <c r="C284" s="2" t="str" cm="1">
        <f t="array" ref="C284">_xlfn.IFS(B284&lt;25, "Youth (16–24)", B284&lt;35, "Young Adults (25–34)", B284&lt;45, "Adults (35–44)", B284&lt;55, "Middle-aged (45–54)")</f>
        <v>Adults (35–44)</v>
      </c>
      <c r="D284" t="s">
        <v>16</v>
      </c>
      <c r="E284" s="1">
        <v>5.7</v>
      </c>
      <c r="F284" s="1" t="str" cm="1">
        <f t="array" ref="F284">_xlfn.IFS(E284&lt;3, "Low (0–3 hrs)", E284&lt;6, "Moderate (3–6 hrs)", E284&lt;8, "High (6–8 hrs)", E284&gt;=8, "Very High (8+ hrs)")</f>
        <v>Moderate (3–6 hrs)</v>
      </c>
      <c r="G284" s="2">
        <v>7</v>
      </c>
      <c r="H284" s="2">
        <v>7</v>
      </c>
      <c r="I284" s="2">
        <v>3</v>
      </c>
      <c r="J284" s="2">
        <v>2</v>
      </c>
      <c r="K284" s="2" t="str" cm="1">
        <f t="array" ref="K284">_xlfn.IFS(Table1[[#This Row],[Exercise_Frequency(week)]]&lt;3, "Beginners (0–2 days)", Table1[[#This Row],[Exercise_Frequency(week)]]&lt;5, "Intermediate (3–4 days)", Table1[[#This Row],[Exercise_Frequency(week)]]&lt;8, "Advanced (5–7 days)")</f>
        <v>Beginners (0–2 days)</v>
      </c>
      <c r="L284" t="s">
        <v>13</v>
      </c>
      <c r="M284" s="2">
        <v>9</v>
      </c>
    </row>
    <row r="285" spans="1:13" x14ac:dyDescent="0.5">
      <c r="A285" t="s">
        <v>239</v>
      </c>
      <c r="B285" s="2">
        <v>48</v>
      </c>
      <c r="C285" s="2" t="str" cm="1">
        <f t="array" ref="C285">_xlfn.IFS(B285&lt;25, "Youth (16–24)", B285&lt;35, "Young Adults (25–34)", B285&lt;45, "Adults (35–44)", B285&lt;55, "Middle-aged (45–54)")</f>
        <v>Middle-aged (45–54)</v>
      </c>
      <c r="D285" t="s">
        <v>11</v>
      </c>
      <c r="E285" s="1">
        <v>7.2</v>
      </c>
      <c r="F285" s="1" t="str" cm="1">
        <f t="array" ref="F285">_xlfn.IFS(E285&lt;3, "Low (0–3 hrs)", E285&lt;6, "Moderate (3–6 hrs)", E285&lt;8, "High (6–8 hrs)", E285&gt;=8, "Very High (8+ hrs)")</f>
        <v>High (6–8 hrs)</v>
      </c>
      <c r="G285" s="2">
        <v>6</v>
      </c>
      <c r="H285" s="2">
        <v>8</v>
      </c>
      <c r="I285" s="2">
        <v>6</v>
      </c>
      <c r="J285" s="2">
        <v>2</v>
      </c>
      <c r="K285" s="2" t="str" cm="1">
        <f t="array" ref="K285">_xlfn.IFS(Table1[[#This Row],[Exercise_Frequency(week)]]&lt;3, "Beginners (0–2 days)", Table1[[#This Row],[Exercise_Frequency(week)]]&lt;5, "Intermediate (3–4 days)", Table1[[#This Row],[Exercise_Frequency(week)]]&lt;8, "Advanced (5–7 days)")</f>
        <v>Beginners (0–2 days)</v>
      </c>
      <c r="L285" t="s">
        <v>12</v>
      </c>
      <c r="M285" s="2">
        <v>9</v>
      </c>
    </row>
    <row r="286" spans="1:13" x14ac:dyDescent="0.5">
      <c r="A286" t="s">
        <v>252</v>
      </c>
      <c r="B286" s="2">
        <v>36</v>
      </c>
      <c r="C286" s="2" t="str" cm="1">
        <f t="array" ref="C286">_xlfn.IFS(B286&lt;25, "Youth (16–24)", B286&lt;35, "Young Adults (25–34)", B286&lt;45, "Adults (35–44)", B286&lt;55, "Middle-aged (45–54)")</f>
        <v>Adults (35–44)</v>
      </c>
      <c r="D286" t="s">
        <v>16</v>
      </c>
      <c r="E286" s="1">
        <v>3.8</v>
      </c>
      <c r="F286" s="1" t="str" cm="1">
        <f t="array" ref="F286">_xlfn.IFS(E286&lt;3, "Low (0–3 hrs)", E286&lt;6, "Moderate (3–6 hrs)", E286&lt;8, "High (6–8 hrs)", E286&gt;=8, "Very High (8+ hrs)")</f>
        <v>Moderate (3–6 hrs)</v>
      </c>
      <c r="G286" s="2">
        <v>7</v>
      </c>
      <c r="H286" s="2">
        <v>5</v>
      </c>
      <c r="I286" s="2">
        <v>3</v>
      </c>
      <c r="J286" s="2">
        <v>2</v>
      </c>
      <c r="K286" s="2" t="str" cm="1">
        <f t="array" ref="K286">_xlfn.IFS(Table1[[#This Row],[Exercise_Frequency(week)]]&lt;3, "Beginners (0–2 days)", Table1[[#This Row],[Exercise_Frequency(week)]]&lt;5, "Intermediate (3–4 days)", Table1[[#This Row],[Exercise_Frequency(week)]]&lt;8, "Advanced (5–7 days)")</f>
        <v>Beginners (0–2 days)</v>
      </c>
      <c r="L286" t="s">
        <v>12</v>
      </c>
      <c r="M286" s="2">
        <v>9</v>
      </c>
    </row>
    <row r="287" spans="1:13" x14ac:dyDescent="0.5">
      <c r="A287" t="s">
        <v>299</v>
      </c>
      <c r="B287" s="2">
        <v>19</v>
      </c>
      <c r="C287" s="2" t="str" cm="1">
        <f t="array" ref="C287">_xlfn.IFS(B287&lt;25, "Youth (16–24)", B287&lt;35, "Young Adults (25–34)", B287&lt;45, "Adults (35–44)", B287&lt;55, "Middle-aged (45–54)")</f>
        <v>Youth (16–24)</v>
      </c>
      <c r="D287" t="s">
        <v>16</v>
      </c>
      <c r="E287" s="1">
        <v>6.7</v>
      </c>
      <c r="F287" s="1" t="str" cm="1">
        <f t="array" ref="F287">_xlfn.IFS(E287&lt;3, "Low (0–3 hrs)", E287&lt;6, "Moderate (3–6 hrs)", E287&lt;8, "High (6–8 hrs)", E287&gt;=8, "Very High (8+ hrs)")</f>
        <v>High (6–8 hrs)</v>
      </c>
      <c r="G287" s="2">
        <v>6</v>
      </c>
      <c r="H287" s="2">
        <v>5</v>
      </c>
      <c r="I287" s="2">
        <v>4</v>
      </c>
      <c r="J287" s="2">
        <v>2</v>
      </c>
      <c r="K287" s="2" t="str" cm="1">
        <f t="array" ref="K287">_xlfn.IFS(Table1[[#This Row],[Exercise_Frequency(week)]]&lt;3, "Beginners (0–2 days)", Table1[[#This Row],[Exercise_Frequency(week)]]&lt;5, "Intermediate (3–4 days)", Table1[[#This Row],[Exercise_Frequency(week)]]&lt;8, "Advanced (5–7 days)")</f>
        <v>Beginners (0–2 days)</v>
      </c>
      <c r="L287" t="s">
        <v>12</v>
      </c>
      <c r="M287" s="2">
        <v>9</v>
      </c>
    </row>
    <row r="288" spans="1:13" x14ac:dyDescent="0.5">
      <c r="A288" t="s">
        <v>326</v>
      </c>
      <c r="B288" s="2">
        <v>41</v>
      </c>
      <c r="C288" s="2" t="str" cm="1">
        <f t="array" ref="C288">_xlfn.IFS(B288&lt;25, "Youth (16–24)", B288&lt;35, "Young Adults (25–34)", B288&lt;45, "Adults (35–44)", B288&lt;55, "Middle-aged (45–54)")</f>
        <v>Adults (35–44)</v>
      </c>
      <c r="D288" t="s">
        <v>11</v>
      </c>
      <c r="E288" s="1">
        <v>3.9</v>
      </c>
      <c r="F288" s="1" t="str" cm="1">
        <f t="array" ref="F288">_xlfn.IFS(E288&lt;3, "Low (0–3 hrs)", E288&lt;6, "Moderate (3–6 hrs)", E288&lt;8, "High (6–8 hrs)", E288&gt;=8, "Very High (8+ hrs)")</f>
        <v>Moderate (3–6 hrs)</v>
      </c>
      <c r="G288" s="2">
        <v>6</v>
      </c>
      <c r="H288" s="2">
        <v>4</v>
      </c>
      <c r="I288" s="2">
        <v>5</v>
      </c>
      <c r="J288" s="2">
        <v>2</v>
      </c>
      <c r="K288" s="2" t="str" cm="1">
        <f t="array" ref="K288">_xlfn.IFS(Table1[[#This Row],[Exercise_Frequency(week)]]&lt;3, "Beginners (0–2 days)", Table1[[#This Row],[Exercise_Frequency(week)]]&lt;5, "Intermediate (3–4 days)", Table1[[#This Row],[Exercise_Frequency(week)]]&lt;8, "Advanced (5–7 days)")</f>
        <v>Beginners (0–2 days)</v>
      </c>
      <c r="L288" t="s">
        <v>17</v>
      </c>
      <c r="M288" s="2">
        <v>9</v>
      </c>
    </row>
    <row r="289" spans="1:13" x14ac:dyDescent="0.5">
      <c r="A289" t="s">
        <v>339</v>
      </c>
      <c r="B289" s="2">
        <v>36</v>
      </c>
      <c r="C289" s="2" t="str" cm="1">
        <f t="array" ref="C289">_xlfn.IFS(B289&lt;25, "Youth (16–24)", B289&lt;35, "Young Adults (25–34)", B289&lt;45, "Adults (35–44)", B289&lt;55, "Middle-aged (45–54)")</f>
        <v>Adults (35–44)</v>
      </c>
      <c r="D289" t="s">
        <v>16</v>
      </c>
      <c r="E289" s="1">
        <v>6.1</v>
      </c>
      <c r="F289" s="1" t="str" cm="1">
        <f t="array" ref="F289">_xlfn.IFS(E289&lt;3, "Low (0–3 hrs)", E289&lt;6, "Moderate (3–6 hrs)", E289&lt;8, "High (6–8 hrs)", E289&gt;=8, "Very High (8+ hrs)")</f>
        <v>High (6–8 hrs)</v>
      </c>
      <c r="G289" s="2">
        <v>7</v>
      </c>
      <c r="H289" s="2">
        <v>7</v>
      </c>
      <c r="I289" s="2">
        <v>5</v>
      </c>
      <c r="J289" s="2">
        <v>2</v>
      </c>
      <c r="K289" s="2" t="str" cm="1">
        <f t="array" ref="K289">_xlfn.IFS(Table1[[#This Row],[Exercise_Frequency(week)]]&lt;3, "Beginners (0–2 days)", Table1[[#This Row],[Exercise_Frequency(week)]]&lt;5, "Intermediate (3–4 days)", Table1[[#This Row],[Exercise_Frequency(week)]]&lt;8, "Advanced (5–7 days)")</f>
        <v>Beginners (0–2 days)</v>
      </c>
      <c r="L289" t="s">
        <v>14</v>
      </c>
      <c r="M289" s="2">
        <v>9</v>
      </c>
    </row>
    <row r="290" spans="1:13" x14ac:dyDescent="0.5">
      <c r="A290" t="s">
        <v>377</v>
      </c>
      <c r="B290" s="2">
        <v>41</v>
      </c>
      <c r="C290" s="2" t="str" cm="1">
        <f t="array" ref="C290">_xlfn.IFS(B290&lt;25, "Youth (16–24)", B290&lt;35, "Young Adults (25–34)", B290&lt;45, "Adults (35–44)", B290&lt;55, "Middle-aged (45–54)")</f>
        <v>Adults (35–44)</v>
      </c>
      <c r="D290" t="s">
        <v>16</v>
      </c>
      <c r="E290" s="1">
        <v>5.6</v>
      </c>
      <c r="F290" s="1" t="str" cm="1">
        <f t="array" ref="F290">_xlfn.IFS(E290&lt;3, "Low (0–3 hrs)", E290&lt;6, "Moderate (3–6 hrs)", E290&lt;8, "High (6–8 hrs)", E290&gt;=8, "Very High (8+ hrs)")</f>
        <v>Moderate (3–6 hrs)</v>
      </c>
      <c r="G290" s="2">
        <v>6</v>
      </c>
      <c r="H290" s="2">
        <v>7</v>
      </c>
      <c r="I290" s="2">
        <v>2</v>
      </c>
      <c r="J290" s="2">
        <v>2</v>
      </c>
      <c r="K290" s="2" t="str" cm="1">
        <f t="array" ref="K290">_xlfn.IFS(Table1[[#This Row],[Exercise_Frequency(week)]]&lt;3, "Beginners (0–2 days)", Table1[[#This Row],[Exercise_Frequency(week)]]&lt;5, "Intermediate (3–4 days)", Table1[[#This Row],[Exercise_Frequency(week)]]&lt;8, "Advanced (5–7 days)")</f>
        <v>Beginners (0–2 days)</v>
      </c>
      <c r="L290" t="s">
        <v>23</v>
      </c>
      <c r="M290" s="2">
        <v>9</v>
      </c>
    </row>
    <row r="291" spans="1:13" x14ac:dyDescent="0.5">
      <c r="A291" t="s">
        <v>379</v>
      </c>
      <c r="B291" s="2">
        <v>41</v>
      </c>
      <c r="C291" s="2" t="str" cm="1">
        <f t="array" ref="C291">_xlfn.IFS(B291&lt;25, "Youth (16–24)", B291&lt;35, "Young Adults (25–34)", B291&lt;45, "Adults (35–44)", B291&lt;55, "Middle-aged (45–54)")</f>
        <v>Adults (35–44)</v>
      </c>
      <c r="D291" t="s">
        <v>11</v>
      </c>
      <c r="E291" s="1">
        <v>4.7</v>
      </c>
      <c r="F291" s="1" t="str" cm="1">
        <f t="array" ref="F291">_xlfn.IFS(E291&lt;3, "Low (0–3 hrs)", E291&lt;6, "Moderate (3–6 hrs)", E291&lt;8, "High (6–8 hrs)", E291&gt;=8, "Very High (8+ hrs)")</f>
        <v>Moderate (3–6 hrs)</v>
      </c>
      <c r="G291" s="2">
        <v>6</v>
      </c>
      <c r="H291" s="2">
        <v>6</v>
      </c>
      <c r="I291" s="2">
        <v>1</v>
      </c>
      <c r="J291" s="2">
        <v>2</v>
      </c>
      <c r="K291" s="2" t="str" cm="1">
        <f t="array" ref="K291">_xlfn.IFS(Table1[[#This Row],[Exercise_Frequency(week)]]&lt;3, "Beginners (0–2 days)", Table1[[#This Row],[Exercise_Frequency(week)]]&lt;5, "Intermediate (3–4 days)", Table1[[#This Row],[Exercise_Frequency(week)]]&lt;8, "Advanced (5–7 days)")</f>
        <v>Beginners (0–2 days)</v>
      </c>
      <c r="L291" t="s">
        <v>19</v>
      </c>
      <c r="M291" s="2">
        <v>9</v>
      </c>
    </row>
    <row r="292" spans="1:13" x14ac:dyDescent="0.5">
      <c r="A292" t="s">
        <v>391</v>
      </c>
      <c r="B292" s="2">
        <v>47</v>
      </c>
      <c r="C292" s="2" t="str" cm="1">
        <f t="array" ref="C292">_xlfn.IFS(B292&lt;25, "Youth (16–24)", B292&lt;35, "Young Adults (25–34)", B292&lt;45, "Adults (35–44)", B292&lt;55, "Middle-aged (45–54)")</f>
        <v>Middle-aged (45–54)</v>
      </c>
      <c r="D292" t="s">
        <v>16</v>
      </c>
      <c r="E292" s="1">
        <v>5.2</v>
      </c>
      <c r="F292" s="1" t="str" cm="1">
        <f t="array" ref="F292">_xlfn.IFS(E292&lt;3, "Low (0–3 hrs)", E292&lt;6, "Moderate (3–6 hrs)", E292&lt;8, "High (6–8 hrs)", E292&gt;=8, "Very High (8+ hrs)")</f>
        <v>Moderate (3–6 hrs)</v>
      </c>
      <c r="G292" s="2">
        <v>7</v>
      </c>
      <c r="H292" s="2">
        <v>7</v>
      </c>
      <c r="I292" s="2">
        <v>3</v>
      </c>
      <c r="J292" s="2">
        <v>2</v>
      </c>
      <c r="K292" s="2" t="str" cm="1">
        <f t="array" ref="K292">_xlfn.IFS(Table1[[#This Row],[Exercise_Frequency(week)]]&lt;3, "Beginners (0–2 days)", Table1[[#This Row],[Exercise_Frequency(week)]]&lt;5, "Intermediate (3–4 days)", Table1[[#This Row],[Exercise_Frequency(week)]]&lt;8, "Advanced (5–7 days)")</f>
        <v>Beginners (0–2 days)</v>
      </c>
      <c r="L292" t="s">
        <v>12</v>
      </c>
      <c r="M292" s="2">
        <v>9</v>
      </c>
    </row>
    <row r="293" spans="1:13" x14ac:dyDescent="0.5">
      <c r="A293" t="s">
        <v>397</v>
      </c>
      <c r="B293" s="2">
        <v>38</v>
      </c>
      <c r="C293" s="2" t="str" cm="1">
        <f t="array" ref="C293">_xlfn.IFS(B293&lt;25, "Youth (16–24)", B293&lt;35, "Young Adults (25–34)", B293&lt;45, "Adults (35–44)", B293&lt;55, "Middle-aged (45–54)")</f>
        <v>Adults (35–44)</v>
      </c>
      <c r="D293" t="s">
        <v>16</v>
      </c>
      <c r="E293" s="1">
        <v>7.2</v>
      </c>
      <c r="F293" s="1" t="str" cm="1">
        <f t="array" ref="F293">_xlfn.IFS(E293&lt;3, "Low (0–3 hrs)", E293&lt;6, "Moderate (3–6 hrs)", E293&lt;8, "High (6–8 hrs)", E293&gt;=8, "Very High (8+ hrs)")</f>
        <v>High (6–8 hrs)</v>
      </c>
      <c r="G293" s="2">
        <v>5</v>
      </c>
      <c r="H293" s="2">
        <v>8</v>
      </c>
      <c r="I293" s="2">
        <v>1</v>
      </c>
      <c r="J293" s="2">
        <v>2</v>
      </c>
      <c r="K293" s="2" t="str" cm="1">
        <f t="array" ref="K293">_xlfn.IFS(Table1[[#This Row],[Exercise_Frequency(week)]]&lt;3, "Beginners (0–2 days)", Table1[[#This Row],[Exercise_Frequency(week)]]&lt;5, "Intermediate (3–4 days)", Table1[[#This Row],[Exercise_Frequency(week)]]&lt;8, "Advanced (5–7 days)")</f>
        <v>Beginners (0–2 days)</v>
      </c>
      <c r="L293" t="s">
        <v>14</v>
      </c>
      <c r="M293" s="2">
        <v>9</v>
      </c>
    </row>
    <row r="294" spans="1:13" x14ac:dyDescent="0.5">
      <c r="A294" t="s">
        <v>413</v>
      </c>
      <c r="B294" s="2">
        <v>46</v>
      </c>
      <c r="C294" s="2" t="str" cm="1">
        <f t="array" ref="C294">_xlfn.IFS(B294&lt;25, "Youth (16–24)", B294&lt;35, "Young Adults (25–34)", B294&lt;45, "Adults (35–44)", B294&lt;55, "Middle-aged (45–54)")</f>
        <v>Middle-aged (45–54)</v>
      </c>
      <c r="D294" t="s">
        <v>11</v>
      </c>
      <c r="E294" s="1">
        <v>8</v>
      </c>
      <c r="F294" s="1" t="str" cm="1">
        <f t="array" ref="F294">_xlfn.IFS(E294&lt;3, "Low (0–3 hrs)", E294&lt;6, "Moderate (3–6 hrs)", E294&lt;8, "High (6–8 hrs)", E294&gt;=8, "Very High (8+ hrs)")</f>
        <v>Very High (8+ hrs)</v>
      </c>
      <c r="G294" s="2">
        <v>4</v>
      </c>
      <c r="H294" s="2">
        <v>8</v>
      </c>
      <c r="I294" s="2">
        <v>3</v>
      </c>
      <c r="J294" s="2">
        <v>2</v>
      </c>
      <c r="K294" s="2" t="str" cm="1">
        <f t="array" ref="K294">_xlfn.IFS(Table1[[#This Row],[Exercise_Frequency(week)]]&lt;3, "Beginners (0–2 days)", Table1[[#This Row],[Exercise_Frequency(week)]]&lt;5, "Intermediate (3–4 days)", Table1[[#This Row],[Exercise_Frequency(week)]]&lt;8, "Advanced (5–7 days)")</f>
        <v>Beginners (0–2 days)</v>
      </c>
      <c r="L294" t="s">
        <v>12</v>
      </c>
      <c r="M294" s="2">
        <v>9</v>
      </c>
    </row>
    <row r="295" spans="1:13" x14ac:dyDescent="0.5">
      <c r="A295" t="s">
        <v>430</v>
      </c>
      <c r="B295" s="2">
        <v>25</v>
      </c>
      <c r="C295" s="2" t="str" cm="1">
        <f t="array" ref="C295">_xlfn.IFS(B295&lt;25, "Youth (16–24)", B295&lt;35, "Young Adults (25–34)", B295&lt;45, "Adults (35–44)", B295&lt;55, "Middle-aged (45–54)")</f>
        <v>Young Adults (25–34)</v>
      </c>
      <c r="D295" t="s">
        <v>16</v>
      </c>
      <c r="E295" s="1">
        <v>6.9</v>
      </c>
      <c r="F295" s="1" t="str" cm="1">
        <f t="array" ref="F295">_xlfn.IFS(E295&lt;3, "Low (0–3 hrs)", E295&lt;6, "Moderate (3–6 hrs)", E295&lt;8, "High (6–8 hrs)", E295&gt;=8, "Very High (8+ hrs)")</f>
        <v>High (6–8 hrs)</v>
      </c>
      <c r="G295" s="2">
        <v>7</v>
      </c>
      <c r="H295" s="2">
        <v>7</v>
      </c>
      <c r="I295" s="2">
        <v>0</v>
      </c>
      <c r="J295" s="2">
        <v>2</v>
      </c>
      <c r="K295" s="2" t="str" cm="1">
        <f t="array" ref="K295">_xlfn.IFS(Table1[[#This Row],[Exercise_Frequency(week)]]&lt;3, "Beginners (0–2 days)", Table1[[#This Row],[Exercise_Frequency(week)]]&lt;5, "Intermediate (3–4 days)", Table1[[#This Row],[Exercise_Frequency(week)]]&lt;8, "Advanced (5–7 days)")</f>
        <v>Beginners (0–2 days)</v>
      </c>
      <c r="L295" t="s">
        <v>17</v>
      </c>
      <c r="M295" s="2">
        <v>9</v>
      </c>
    </row>
    <row r="296" spans="1:13" x14ac:dyDescent="0.5">
      <c r="A296" t="s">
        <v>434</v>
      </c>
      <c r="B296" s="2">
        <v>42</v>
      </c>
      <c r="C296" s="2" t="str" cm="1">
        <f t="array" ref="C296">_xlfn.IFS(B296&lt;25, "Youth (16–24)", B296&lt;35, "Young Adults (25–34)", B296&lt;45, "Adults (35–44)", B296&lt;55, "Middle-aged (45–54)")</f>
        <v>Adults (35–44)</v>
      </c>
      <c r="D296" t="s">
        <v>11</v>
      </c>
      <c r="E296" s="1">
        <v>4.0999999999999996</v>
      </c>
      <c r="F296" s="1" t="str" cm="1">
        <f t="array" ref="F296">_xlfn.IFS(E296&lt;3, "Low (0–3 hrs)", E296&lt;6, "Moderate (3–6 hrs)", E296&lt;8, "High (6–8 hrs)", E296&gt;=8, "Very High (8+ hrs)")</f>
        <v>Moderate (3–6 hrs)</v>
      </c>
      <c r="G296" s="2">
        <v>6</v>
      </c>
      <c r="H296" s="2">
        <v>6</v>
      </c>
      <c r="I296" s="2">
        <v>4</v>
      </c>
      <c r="J296" s="2">
        <v>2</v>
      </c>
      <c r="K296" s="2" t="str" cm="1">
        <f t="array" ref="K296">_xlfn.IFS(Table1[[#This Row],[Exercise_Frequency(week)]]&lt;3, "Beginners (0–2 days)", Table1[[#This Row],[Exercise_Frequency(week)]]&lt;5, "Intermediate (3–4 days)", Table1[[#This Row],[Exercise_Frequency(week)]]&lt;8, "Advanced (5–7 days)")</f>
        <v>Beginners (0–2 days)</v>
      </c>
      <c r="L296" t="s">
        <v>12</v>
      </c>
      <c r="M296" s="2">
        <v>9</v>
      </c>
    </row>
    <row r="297" spans="1:13" x14ac:dyDescent="0.5">
      <c r="A297" t="s">
        <v>491</v>
      </c>
      <c r="B297" s="2">
        <v>43</v>
      </c>
      <c r="C297" s="2" t="str" cm="1">
        <f t="array" ref="C297">_xlfn.IFS(B297&lt;25, "Youth (16–24)", B297&lt;35, "Young Adults (25–34)", B297&lt;45, "Adults (35–44)", B297&lt;55, "Middle-aged (45–54)")</f>
        <v>Adults (35–44)</v>
      </c>
      <c r="D297" t="s">
        <v>16</v>
      </c>
      <c r="E297" s="1">
        <v>5.6</v>
      </c>
      <c r="F297" s="1" t="str" cm="1">
        <f t="array" ref="F297">_xlfn.IFS(E297&lt;3, "Low (0–3 hrs)", E297&lt;6, "Moderate (3–6 hrs)", E297&lt;8, "High (6–8 hrs)", E297&gt;=8, "Very High (8+ hrs)")</f>
        <v>Moderate (3–6 hrs)</v>
      </c>
      <c r="G297" s="2">
        <v>7</v>
      </c>
      <c r="H297" s="2">
        <v>6</v>
      </c>
      <c r="I297" s="2">
        <v>5</v>
      </c>
      <c r="J297" s="2">
        <v>2</v>
      </c>
      <c r="K297" s="2" t="str" cm="1">
        <f t="array" ref="K297">_xlfn.IFS(Table1[[#This Row],[Exercise_Frequency(week)]]&lt;3, "Beginners (0–2 days)", Table1[[#This Row],[Exercise_Frequency(week)]]&lt;5, "Intermediate (3–4 days)", Table1[[#This Row],[Exercise_Frequency(week)]]&lt;8, "Advanced (5–7 days)")</f>
        <v>Beginners (0–2 days)</v>
      </c>
      <c r="L297" t="s">
        <v>12</v>
      </c>
      <c r="M297" s="2">
        <v>9</v>
      </c>
    </row>
    <row r="298" spans="1:13" x14ac:dyDescent="0.5">
      <c r="A298" t="s">
        <v>493</v>
      </c>
      <c r="B298" s="2">
        <v>23</v>
      </c>
      <c r="C298" s="2" t="str" cm="1">
        <f t="array" ref="C298">_xlfn.IFS(B298&lt;25, "Youth (16–24)", B298&lt;35, "Young Adults (25–34)", B298&lt;45, "Adults (35–44)", B298&lt;55, "Middle-aged (45–54)")</f>
        <v>Youth (16–24)</v>
      </c>
      <c r="D298" t="s">
        <v>11</v>
      </c>
      <c r="E298" s="1">
        <v>4.2</v>
      </c>
      <c r="F298" s="1" t="str" cm="1">
        <f t="array" ref="F298">_xlfn.IFS(E298&lt;3, "Low (0–3 hrs)", E298&lt;6, "Moderate (3–6 hrs)", E298&lt;8, "High (6–8 hrs)", E298&gt;=8, "Very High (8+ hrs)")</f>
        <v>Moderate (3–6 hrs)</v>
      </c>
      <c r="G298" s="2">
        <v>9</v>
      </c>
      <c r="H298" s="2">
        <v>7</v>
      </c>
      <c r="I298" s="2">
        <v>0</v>
      </c>
      <c r="J298" s="2">
        <v>2</v>
      </c>
      <c r="K298" s="2" t="str" cm="1">
        <f t="array" ref="K298">_xlfn.IFS(Table1[[#This Row],[Exercise_Frequency(week)]]&lt;3, "Beginners (0–2 days)", Table1[[#This Row],[Exercise_Frequency(week)]]&lt;5, "Intermediate (3–4 days)", Table1[[#This Row],[Exercise_Frequency(week)]]&lt;8, "Advanced (5–7 days)")</f>
        <v>Beginners (0–2 days)</v>
      </c>
      <c r="L298" t="s">
        <v>12</v>
      </c>
      <c r="M298" s="2">
        <v>9</v>
      </c>
    </row>
    <row r="299" spans="1:13" x14ac:dyDescent="0.5">
      <c r="A299" t="s">
        <v>24</v>
      </c>
      <c r="B299" s="2">
        <v>39</v>
      </c>
      <c r="C299" s="2" t="str" cm="1">
        <f t="array" ref="C299">_xlfn.IFS(B299&lt;25, "Youth (16–24)", B299&lt;35, "Young Adults (25–34)", B299&lt;45, "Adults (35–44)", B299&lt;55, "Middle-aged (45–54)")</f>
        <v>Adults (35–44)</v>
      </c>
      <c r="D299" t="s">
        <v>11</v>
      </c>
      <c r="E299" s="1">
        <v>4.7</v>
      </c>
      <c r="F299" s="1" t="str" cm="1">
        <f t="array" ref="F299">_xlfn.IFS(E299&lt;3, "Low (0–3 hrs)", E299&lt;6, "Moderate (3–6 hrs)", E299&lt;8, "High (6–8 hrs)", E299&gt;=8, "Very High (8+ hrs)")</f>
        <v>Moderate (3–6 hrs)</v>
      </c>
      <c r="G299" s="2">
        <v>7</v>
      </c>
      <c r="H299" s="2">
        <v>7</v>
      </c>
      <c r="I299" s="2">
        <v>6</v>
      </c>
      <c r="J299" s="2">
        <v>1</v>
      </c>
      <c r="K299" s="2" t="str" cm="1">
        <f t="array" ref="K299">_xlfn.IFS(Table1[[#This Row],[Exercise_Frequency(week)]]&lt;3, "Beginners (0–2 days)", Table1[[#This Row],[Exercise_Frequency(week)]]&lt;5, "Intermediate (3–4 days)", Table1[[#This Row],[Exercise_Frequency(week)]]&lt;8, "Advanced (5–7 days)")</f>
        <v>Beginners (0–2 days)</v>
      </c>
      <c r="L299" t="s">
        <v>14</v>
      </c>
      <c r="M299" s="2">
        <v>9</v>
      </c>
    </row>
    <row r="300" spans="1:13" x14ac:dyDescent="0.5">
      <c r="A300" t="s">
        <v>36</v>
      </c>
      <c r="B300" s="2">
        <v>43</v>
      </c>
      <c r="C300" s="2" t="str" cm="1">
        <f t="array" ref="C300">_xlfn.IFS(B300&lt;25, "Youth (16–24)", B300&lt;35, "Young Adults (25–34)", B300&lt;45, "Adults (35–44)", B300&lt;55, "Middle-aged (45–54)")</f>
        <v>Adults (35–44)</v>
      </c>
      <c r="D300" t="s">
        <v>11</v>
      </c>
      <c r="E300" s="1">
        <v>3.6</v>
      </c>
      <c r="F300" s="1" t="str" cm="1">
        <f t="array" ref="F300">_xlfn.IFS(E300&lt;3, "Low (0–3 hrs)", E300&lt;6, "Moderate (3–6 hrs)", E300&lt;8, "High (6–8 hrs)", E300&gt;=8, "Very High (8+ hrs)")</f>
        <v>Moderate (3–6 hrs)</v>
      </c>
      <c r="G300" s="2">
        <v>8</v>
      </c>
      <c r="H300" s="2">
        <v>5</v>
      </c>
      <c r="I300" s="2">
        <v>3</v>
      </c>
      <c r="J300" s="2">
        <v>1</v>
      </c>
      <c r="K300" s="2" t="str" cm="1">
        <f t="array" ref="K300">_xlfn.IFS(Table1[[#This Row],[Exercise_Frequency(week)]]&lt;3, "Beginners (0–2 days)", Table1[[#This Row],[Exercise_Frequency(week)]]&lt;5, "Intermediate (3–4 days)", Table1[[#This Row],[Exercise_Frequency(week)]]&lt;8, "Advanced (5–7 days)")</f>
        <v>Beginners (0–2 days)</v>
      </c>
      <c r="L300" t="s">
        <v>12</v>
      </c>
      <c r="M300" s="2">
        <v>9</v>
      </c>
    </row>
    <row r="301" spans="1:13" x14ac:dyDescent="0.5">
      <c r="A301" t="s">
        <v>57</v>
      </c>
      <c r="B301" s="2">
        <v>41</v>
      </c>
      <c r="C301" s="2" t="str" cm="1">
        <f t="array" ref="C301">_xlfn.IFS(B301&lt;25, "Youth (16–24)", B301&lt;35, "Young Adults (25–34)", B301&lt;45, "Adults (35–44)", B301&lt;55, "Middle-aged (45–54)")</f>
        <v>Adults (35–44)</v>
      </c>
      <c r="D301" t="s">
        <v>11</v>
      </c>
      <c r="E301" s="1">
        <v>3.7</v>
      </c>
      <c r="F301" s="1" t="str" cm="1">
        <f t="array" ref="F301">_xlfn.IFS(E301&lt;3, "Low (0–3 hrs)", E301&lt;6, "Moderate (3–6 hrs)", E301&lt;8, "High (6–8 hrs)", E301&gt;=8, "Very High (8+ hrs)")</f>
        <v>Moderate (3–6 hrs)</v>
      </c>
      <c r="G301" s="2">
        <v>8</v>
      </c>
      <c r="H301" s="2">
        <v>6</v>
      </c>
      <c r="I301" s="2">
        <v>3</v>
      </c>
      <c r="J301" s="2">
        <v>1</v>
      </c>
      <c r="K301" s="2" t="str" cm="1">
        <f t="array" ref="K301">_xlfn.IFS(Table1[[#This Row],[Exercise_Frequency(week)]]&lt;3, "Beginners (0–2 days)", Table1[[#This Row],[Exercise_Frequency(week)]]&lt;5, "Intermediate (3–4 days)", Table1[[#This Row],[Exercise_Frequency(week)]]&lt;8, "Advanced (5–7 days)")</f>
        <v>Beginners (0–2 days)</v>
      </c>
      <c r="L301" t="s">
        <v>17</v>
      </c>
      <c r="M301" s="2">
        <v>9</v>
      </c>
    </row>
    <row r="302" spans="1:13" x14ac:dyDescent="0.5">
      <c r="A302" t="s">
        <v>58</v>
      </c>
      <c r="B302" s="2">
        <v>49</v>
      </c>
      <c r="C302" s="2" t="str" cm="1">
        <f t="array" ref="C302">_xlfn.IFS(B302&lt;25, "Youth (16–24)", B302&lt;35, "Young Adults (25–34)", B302&lt;45, "Adults (35–44)", B302&lt;55, "Middle-aged (45–54)")</f>
        <v>Middle-aged (45–54)</v>
      </c>
      <c r="D302" t="s">
        <v>11</v>
      </c>
      <c r="E302" s="1">
        <v>3.6</v>
      </c>
      <c r="F302" s="1" t="str" cm="1">
        <f t="array" ref="F302">_xlfn.IFS(E302&lt;3, "Low (0–3 hrs)", E302&lt;6, "Moderate (3–6 hrs)", E302&lt;8, "High (6–8 hrs)", E302&gt;=8, "Very High (8+ hrs)")</f>
        <v>Moderate (3–6 hrs)</v>
      </c>
      <c r="G302" s="2">
        <v>7</v>
      </c>
      <c r="H302" s="2">
        <v>5</v>
      </c>
      <c r="I302" s="2">
        <v>4</v>
      </c>
      <c r="J302" s="2">
        <v>1</v>
      </c>
      <c r="K302" s="2" t="str" cm="1">
        <f t="array" ref="K302">_xlfn.IFS(Table1[[#This Row],[Exercise_Frequency(week)]]&lt;3, "Beginners (0–2 days)", Table1[[#This Row],[Exercise_Frequency(week)]]&lt;5, "Intermediate (3–4 days)", Table1[[#This Row],[Exercise_Frequency(week)]]&lt;8, "Advanced (5–7 days)")</f>
        <v>Beginners (0–2 days)</v>
      </c>
      <c r="L302" t="s">
        <v>17</v>
      </c>
      <c r="M302" s="2">
        <v>9</v>
      </c>
    </row>
    <row r="303" spans="1:13" x14ac:dyDescent="0.5">
      <c r="A303" t="s">
        <v>66</v>
      </c>
      <c r="B303" s="2">
        <v>36</v>
      </c>
      <c r="C303" s="2" t="str" cm="1">
        <f t="array" ref="C303">_xlfn.IFS(B303&lt;25, "Youth (16–24)", B303&lt;35, "Young Adults (25–34)", B303&lt;45, "Adults (35–44)", B303&lt;55, "Middle-aged (45–54)")</f>
        <v>Adults (35–44)</v>
      </c>
      <c r="D303" t="s">
        <v>16</v>
      </c>
      <c r="E303" s="1">
        <v>4.3</v>
      </c>
      <c r="F303" s="1" t="str" cm="1">
        <f t="array" ref="F303">_xlfn.IFS(E303&lt;3, "Low (0–3 hrs)", E303&lt;6, "Moderate (3–6 hrs)", E303&lt;8, "High (6–8 hrs)", E303&gt;=8, "Very High (8+ hrs)")</f>
        <v>Moderate (3–6 hrs)</v>
      </c>
      <c r="G303" s="2">
        <v>7</v>
      </c>
      <c r="H303" s="2">
        <v>6</v>
      </c>
      <c r="I303" s="2">
        <v>4</v>
      </c>
      <c r="J303" s="2">
        <v>1</v>
      </c>
      <c r="K303" s="2" t="str" cm="1">
        <f t="array" ref="K303">_xlfn.IFS(Table1[[#This Row],[Exercise_Frequency(week)]]&lt;3, "Beginners (0–2 days)", Table1[[#This Row],[Exercise_Frequency(week)]]&lt;5, "Intermediate (3–4 days)", Table1[[#This Row],[Exercise_Frequency(week)]]&lt;8, "Advanced (5–7 days)")</f>
        <v>Beginners (0–2 days)</v>
      </c>
      <c r="L303" t="s">
        <v>19</v>
      </c>
      <c r="M303" s="2">
        <v>9</v>
      </c>
    </row>
    <row r="304" spans="1:13" x14ac:dyDescent="0.5">
      <c r="A304" t="s">
        <v>70</v>
      </c>
      <c r="B304" s="2">
        <v>41</v>
      </c>
      <c r="C304" s="2" t="str" cm="1">
        <f t="array" ref="C304">_xlfn.IFS(B304&lt;25, "Youth (16–24)", B304&lt;35, "Young Adults (25–34)", B304&lt;45, "Adults (35–44)", B304&lt;55, "Middle-aged (45–54)")</f>
        <v>Adults (35–44)</v>
      </c>
      <c r="D304" t="s">
        <v>16</v>
      </c>
      <c r="E304" s="1">
        <v>5.6</v>
      </c>
      <c r="F304" s="1" t="str" cm="1">
        <f t="array" ref="F304">_xlfn.IFS(E304&lt;3, "Low (0–3 hrs)", E304&lt;6, "Moderate (3–6 hrs)", E304&lt;8, "High (6–8 hrs)", E304&gt;=8, "Very High (8+ hrs)")</f>
        <v>Moderate (3–6 hrs)</v>
      </c>
      <c r="G304" s="2">
        <v>6</v>
      </c>
      <c r="H304" s="2">
        <v>7</v>
      </c>
      <c r="I304" s="2">
        <v>2</v>
      </c>
      <c r="J304" s="2">
        <v>1</v>
      </c>
      <c r="K304" s="2" t="str" cm="1">
        <f t="array" ref="K304">_xlfn.IFS(Table1[[#This Row],[Exercise_Frequency(week)]]&lt;3, "Beginners (0–2 days)", Table1[[#This Row],[Exercise_Frequency(week)]]&lt;5, "Intermediate (3–4 days)", Table1[[#This Row],[Exercise_Frequency(week)]]&lt;8, "Advanced (5–7 days)")</f>
        <v>Beginners (0–2 days)</v>
      </c>
      <c r="L304" t="s">
        <v>17</v>
      </c>
      <c r="M304" s="2">
        <v>9</v>
      </c>
    </row>
    <row r="305" spans="1:13" x14ac:dyDescent="0.5">
      <c r="A305" t="s">
        <v>124</v>
      </c>
      <c r="B305" s="2">
        <v>43</v>
      </c>
      <c r="C305" s="2" t="str" cm="1">
        <f t="array" ref="C305">_xlfn.IFS(B305&lt;25, "Youth (16–24)", B305&lt;35, "Young Adults (25–34)", B305&lt;45, "Adults (35–44)", B305&lt;55, "Middle-aged (45–54)")</f>
        <v>Adults (35–44)</v>
      </c>
      <c r="D305" t="s">
        <v>16</v>
      </c>
      <c r="E305" s="1">
        <v>6.4</v>
      </c>
      <c r="F305" s="1" t="str" cm="1">
        <f t="array" ref="F305">_xlfn.IFS(E305&lt;3, "Low (0–3 hrs)", E305&lt;6, "Moderate (3–6 hrs)", E305&lt;8, "High (6–8 hrs)", E305&gt;=8, "Very High (8+ hrs)")</f>
        <v>High (6–8 hrs)</v>
      </c>
      <c r="G305" s="2">
        <v>6</v>
      </c>
      <c r="H305" s="2">
        <v>7</v>
      </c>
      <c r="I305" s="2">
        <v>1</v>
      </c>
      <c r="J305" s="2">
        <v>1</v>
      </c>
      <c r="K305" s="2" t="str" cm="1">
        <f t="array" ref="K305">_xlfn.IFS(Table1[[#This Row],[Exercise_Frequency(week)]]&lt;3, "Beginners (0–2 days)", Table1[[#This Row],[Exercise_Frequency(week)]]&lt;5, "Intermediate (3–4 days)", Table1[[#This Row],[Exercise_Frequency(week)]]&lt;8, "Advanced (5–7 days)")</f>
        <v>Beginners (0–2 days)</v>
      </c>
      <c r="L305" t="s">
        <v>23</v>
      </c>
      <c r="M305" s="2">
        <v>9</v>
      </c>
    </row>
    <row r="306" spans="1:13" x14ac:dyDescent="0.5">
      <c r="A306" t="s">
        <v>131</v>
      </c>
      <c r="B306" s="2">
        <v>16</v>
      </c>
      <c r="C306" s="2" t="str" cm="1">
        <f t="array" ref="C306">_xlfn.IFS(B306&lt;25, "Youth (16–24)", B306&lt;35, "Young Adults (25–34)", B306&lt;45, "Adults (35–44)", B306&lt;55, "Middle-aged (45–54)")</f>
        <v>Youth (16–24)</v>
      </c>
      <c r="D306" t="s">
        <v>11</v>
      </c>
      <c r="E306" s="1">
        <v>5.5</v>
      </c>
      <c r="F306" s="1" t="str" cm="1">
        <f t="array" ref="F306">_xlfn.IFS(E306&lt;3, "Low (0–3 hrs)", E306&lt;6, "Moderate (3–6 hrs)", E306&lt;8, "High (6–8 hrs)", E306&gt;=8, "Very High (8+ hrs)")</f>
        <v>Moderate (3–6 hrs)</v>
      </c>
      <c r="G306" s="2">
        <v>7</v>
      </c>
      <c r="H306" s="2">
        <v>7</v>
      </c>
      <c r="I306" s="2">
        <v>4</v>
      </c>
      <c r="J306" s="2">
        <v>1</v>
      </c>
      <c r="K306" s="2" t="str" cm="1">
        <f t="array" ref="K306">_xlfn.IFS(Table1[[#This Row],[Exercise_Frequency(week)]]&lt;3, "Beginners (0–2 days)", Table1[[#This Row],[Exercise_Frequency(week)]]&lt;5, "Intermediate (3–4 days)", Table1[[#This Row],[Exercise_Frequency(week)]]&lt;8, "Advanced (5–7 days)")</f>
        <v>Beginners (0–2 days)</v>
      </c>
      <c r="L306" t="s">
        <v>23</v>
      </c>
      <c r="M306" s="2">
        <v>9</v>
      </c>
    </row>
    <row r="307" spans="1:13" x14ac:dyDescent="0.5">
      <c r="A307" t="s">
        <v>132</v>
      </c>
      <c r="B307" s="2">
        <v>42</v>
      </c>
      <c r="C307" s="2" t="str" cm="1">
        <f t="array" ref="C307">_xlfn.IFS(B307&lt;25, "Youth (16–24)", B307&lt;35, "Young Adults (25–34)", B307&lt;45, "Adults (35–44)", B307&lt;55, "Middle-aged (45–54)")</f>
        <v>Adults (35–44)</v>
      </c>
      <c r="D307" t="s">
        <v>11</v>
      </c>
      <c r="E307" s="1">
        <v>5.7</v>
      </c>
      <c r="F307" s="1" t="str" cm="1">
        <f t="array" ref="F307">_xlfn.IFS(E307&lt;3, "Low (0–3 hrs)", E307&lt;6, "Moderate (3–6 hrs)", E307&lt;8, "High (6–8 hrs)", E307&gt;=8, "Very High (8+ hrs)")</f>
        <v>Moderate (3–6 hrs)</v>
      </c>
      <c r="G307" s="2">
        <v>7</v>
      </c>
      <c r="H307" s="2">
        <v>7</v>
      </c>
      <c r="I307" s="2">
        <v>0</v>
      </c>
      <c r="J307" s="2">
        <v>1</v>
      </c>
      <c r="K307" s="2" t="str" cm="1">
        <f t="array" ref="K307">_xlfn.IFS(Table1[[#This Row],[Exercise_Frequency(week)]]&lt;3, "Beginners (0–2 days)", Table1[[#This Row],[Exercise_Frequency(week)]]&lt;5, "Intermediate (3–4 days)", Table1[[#This Row],[Exercise_Frequency(week)]]&lt;8, "Advanced (5–7 days)")</f>
        <v>Beginners (0–2 days)</v>
      </c>
      <c r="L307" t="s">
        <v>13</v>
      </c>
      <c r="M307" s="2">
        <v>9</v>
      </c>
    </row>
    <row r="308" spans="1:13" x14ac:dyDescent="0.5">
      <c r="A308" t="s">
        <v>153</v>
      </c>
      <c r="B308" s="2">
        <v>47</v>
      </c>
      <c r="C308" s="2" t="str" cm="1">
        <f t="array" ref="C308">_xlfn.IFS(B308&lt;25, "Youth (16–24)", B308&lt;35, "Young Adults (25–34)", B308&lt;45, "Adults (35–44)", B308&lt;55, "Middle-aged (45–54)")</f>
        <v>Middle-aged (45–54)</v>
      </c>
      <c r="D308" t="s">
        <v>11</v>
      </c>
      <c r="E308" s="1">
        <v>6.2</v>
      </c>
      <c r="F308" s="1" t="str" cm="1">
        <f t="array" ref="F308">_xlfn.IFS(E308&lt;3, "Low (0–3 hrs)", E308&lt;6, "Moderate (3–6 hrs)", E308&lt;8, "High (6–8 hrs)", E308&gt;=8, "Very High (8+ hrs)")</f>
        <v>High (6–8 hrs)</v>
      </c>
      <c r="G308" s="2">
        <v>5</v>
      </c>
      <c r="H308" s="2">
        <v>7</v>
      </c>
      <c r="I308" s="2">
        <v>6</v>
      </c>
      <c r="J308" s="2">
        <v>1</v>
      </c>
      <c r="K308" s="2" t="str" cm="1">
        <f t="array" ref="K308">_xlfn.IFS(Table1[[#This Row],[Exercise_Frequency(week)]]&lt;3, "Beginners (0–2 days)", Table1[[#This Row],[Exercise_Frequency(week)]]&lt;5, "Intermediate (3–4 days)", Table1[[#This Row],[Exercise_Frequency(week)]]&lt;8, "Advanced (5–7 days)")</f>
        <v>Beginners (0–2 days)</v>
      </c>
      <c r="L308" t="s">
        <v>14</v>
      </c>
      <c r="M308" s="2">
        <v>9</v>
      </c>
    </row>
    <row r="309" spans="1:13" x14ac:dyDescent="0.5">
      <c r="A309" t="s">
        <v>240</v>
      </c>
      <c r="B309" s="2">
        <v>20</v>
      </c>
      <c r="C309" s="2" t="str" cm="1">
        <f t="array" ref="C309">_xlfn.IFS(B309&lt;25, "Youth (16–24)", B309&lt;35, "Young Adults (25–34)", B309&lt;45, "Adults (35–44)", B309&lt;55, "Middle-aged (45–54)")</f>
        <v>Youth (16–24)</v>
      </c>
      <c r="D309" t="s">
        <v>16</v>
      </c>
      <c r="E309" s="1">
        <v>5.0999999999999996</v>
      </c>
      <c r="F309" s="1" t="str" cm="1">
        <f t="array" ref="F309">_xlfn.IFS(E309&lt;3, "Low (0–3 hrs)", E309&lt;6, "Moderate (3–6 hrs)", E309&lt;8, "High (6–8 hrs)", E309&gt;=8, "Very High (8+ hrs)")</f>
        <v>Moderate (3–6 hrs)</v>
      </c>
      <c r="G309" s="2">
        <v>4</v>
      </c>
      <c r="H309" s="2">
        <v>5</v>
      </c>
      <c r="I309" s="2">
        <v>2</v>
      </c>
      <c r="J309" s="2">
        <v>1</v>
      </c>
      <c r="K309" s="2" t="str" cm="1">
        <f t="array" ref="K309">_xlfn.IFS(Table1[[#This Row],[Exercise_Frequency(week)]]&lt;3, "Beginners (0–2 days)", Table1[[#This Row],[Exercise_Frequency(week)]]&lt;5, "Intermediate (3–4 days)", Table1[[#This Row],[Exercise_Frequency(week)]]&lt;8, "Advanced (5–7 days)")</f>
        <v>Beginners (0–2 days)</v>
      </c>
      <c r="L309" t="s">
        <v>13</v>
      </c>
      <c r="M309" s="2">
        <v>9</v>
      </c>
    </row>
    <row r="310" spans="1:13" x14ac:dyDescent="0.5">
      <c r="A310" t="s">
        <v>247</v>
      </c>
      <c r="B310" s="2">
        <v>21</v>
      </c>
      <c r="C310" s="2" t="str" cm="1">
        <f t="array" ref="C310">_xlfn.IFS(B310&lt;25, "Youth (16–24)", B310&lt;35, "Young Adults (25–34)", B310&lt;45, "Adults (35–44)", B310&lt;55, "Middle-aged (45–54)")</f>
        <v>Youth (16–24)</v>
      </c>
      <c r="D310" t="s">
        <v>16</v>
      </c>
      <c r="E310" s="1">
        <v>4.5</v>
      </c>
      <c r="F310" s="1" t="str" cm="1">
        <f t="array" ref="F310">_xlfn.IFS(E310&lt;3, "Low (0–3 hrs)", E310&lt;6, "Moderate (3–6 hrs)", E310&lt;8, "High (6–8 hrs)", E310&gt;=8, "Very High (8+ hrs)")</f>
        <v>Moderate (3–6 hrs)</v>
      </c>
      <c r="G310" s="2">
        <v>6</v>
      </c>
      <c r="H310" s="2">
        <v>6</v>
      </c>
      <c r="I310" s="2">
        <v>4</v>
      </c>
      <c r="J310" s="2">
        <v>1</v>
      </c>
      <c r="K310" s="2" t="str" cm="1">
        <f t="array" ref="K310">_xlfn.IFS(Table1[[#This Row],[Exercise_Frequency(week)]]&lt;3, "Beginners (0–2 days)", Table1[[#This Row],[Exercise_Frequency(week)]]&lt;5, "Intermediate (3–4 days)", Table1[[#This Row],[Exercise_Frequency(week)]]&lt;8, "Advanced (5–7 days)")</f>
        <v>Beginners (0–2 days)</v>
      </c>
      <c r="L310" t="s">
        <v>13</v>
      </c>
      <c r="M310" s="2">
        <v>9</v>
      </c>
    </row>
    <row r="311" spans="1:13" x14ac:dyDescent="0.5">
      <c r="A311" t="s">
        <v>312</v>
      </c>
      <c r="B311" s="2">
        <v>38</v>
      </c>
      <c r="C311" s="2" t="str" cm="1">
        <f t="array" ref="C311">_xlfn.IFS(B311&lt;25, "Youth (16–24)", B311&lt;35, "Young Adults (25–34)", B311&lt;45, "Adults (35–44)", B311&lt;55, "Middle-aged (45–54)")</f>
        <v>Adults (35–44)</v>
      </c>
      <c r="D311" t="s">
        <v>11</v>
      </c>
      <c r="E311" s="1">
        <v>4.5</v>
      </c>
      <c r="F311" s="1" t="str" cm="1">
        <f t="array" ref="F311">_xlfn.IFS(E311&lt;3, "Low (0–3 hrs)", E311&lt;6, "Moderate (3–6 hrs)", E311&lt;8, "High (6–8 hrs)", E311&gt;=8, "Very High (8+ hrs)")</f>
        <v>Moderate (3–6 hrs)</v>
      </c>
      <c r="G311" s="2">
        <v>7</v>
      </c>
      <c r="H311" s="2">
        <v>6</v>
      </c>
      <c r="I311" s="2">
        <v>2</v>
      </c>
      <c r="J311" s="2">
        <v>1</v>
      </c>
      <c r="K311" s="2" t="str" cm="1">
        <f t="array" ref="K311">_xlfn.IFS(Table1[[#This Row],[Exercise_Frequency(week)]]&lt;3, "Beginners (0–2 days)", Table1[[#This Row],[Exercise_Frequency(week)]]&lt;5, "Intermediate (3–4 days)", Table1[[#This Row],[Exercise_Frequency(week)]]&lt;8, "Advanced (5–7 days)")</f>
        <v>Beginners (0–2 days)</v>
      </c>
      <c r="L311" t="s">
        <v>17</v>
      </c>
      <c r="M311" s="2">
        <v>9</v>
      </c>
    </row>
    <row r="312" spans="1:13" x14ac:dyDescent="0.5">
      <c r="A312" t="s">
        <v>382</v>
      </c>
      <c r="B312" s="2">
        <v>19</v>
      </c>
      <c r="C312" s="2" t="str" cm="1">
        <f t="array" ref="C312">_xlfn.IFS(B312&lt;25, "Youth (16–24)", B312&lt;35, "Young Adults (25–34)", B312&lt;45, "Adults (35–44)", B312&lt;55, "Middle-aged (45–54)")</f>
        <v>Youth (16–24)</v>
      </c>
      <c r="D312" t="s">
        <v>11</v>
      </c>
      <c r="E312" s="1">
        <v>2.7</v>
      </c>
      <c r="F312" s="1" t="str" cm="1">
        <f t="array" ref="F312">_xlfn.IFS(E312&lt;3, "Low (0–3 hrs)", E312&lt;6, "Moderate (3–6 hrs)", E312&lt;8, "High (6–8 hrs)", E312&gt;=8, "Very High (8+ hrs)")</f>
        <v>Low (0–3 hrs)</v>
      </c>
      <c r="G312" s="2">
        <v>8</v>
      </c>
      <c r="H312" s="2">
        <v>5</v>
      </c>
      <c r="I312" s="2">
        <v>2</v>
      </c>
      <c r="J312" s="2">
        <v>1</v>
      </c>
      <c r="K312" s="2" t="str" cm="1">
        <f t="array" ref="K312">_xlfn.IFS(Table1[[#This Row],[Exercise_Frequency(week)]]&lt;3, "Beginners (0–2 days)", Table1[[#This Row],[Exercise_Frequency(week)]]&lt;5, "Intermediate (3–4 days)", Table1[[#This Row],[Exercise_Frequency(week)]]&lt;8, "Advanced (5–7 days)")</f>
        <v>Beginners (0–2 days)</v>
      </c>
      <c r="L312" t="s">
        <v>13</v>
      </c>
      <c r="M312" s="2">
        <v>9</v>
      </c>
    </row>
    <row r="313" spans="1:13" x14ac:dyDescent="0.5">
      <c r="A313" t="s">
        <v>390</v>
      </c>
      <c r="B313" s="2">
        <v>33</v>
      </c>
      <c r="C313" s="2" t="str" cm="1">
        <f t="array" ref="C313">_xlfn.IFS(B313&lt;25, "Youth (16–24)", B313&lt;35, "Young Adults (25–34)", B313&lt;45, "Adults (35–44)", B313&lt;55, "Middle-aged (45–54)")</f>
        <v>Young Adults (25–34)</v>
      </c>
      <c r="D313" t="s">
        <v>16</v>
      </c>
      <c r="E313" s="1">
        <v>6.2</v>
      </c>
      <c r="F313" s="1" t="str" cm="1">
        <f t="array" ref="F313">_xlfn.IFS(E313&lt;3, "Low (0–3 hrs)", E313&lt;6, "Moderate (3–6 hrs)", E313&lt;8, "High (6–8 hrs)", E313&gt;=8, "Very High (8+ hrs)")</f>
        <v>High (6–8 hrs)</v>
      </c>
      <c r="G313" s="2">
        <v>6</v>
      </c>
      <c r="H313" s="2">
        <v>7</v>
      </c>
      <c r="I313" s="2">
        <v>4</v>
      </c>
      <c r="J313" s="2">
        <v>1</v>
      </c>
      <c r="K313" s="2" t="str" cm="1">
        <f t="array" ref="K313">_xlfn.IFS(Table1[[#This Row],[Exercise_Frequency(week)]]&lt;3, "Beginners (0–2 days)", Table1[[#This Row],[Exercise_Frequency(week)]]&lt;5, "Intermediate (3–4 days)", Table1[[#This Row],[Exercise_Frequency(week)]]&lt;8, "Advanced (5–7 days)")</f>
        <v>Beginners (0–2 days)</v>
      </c>
      <c r="L313" t="s">
        <v>12</v>
      </c>
      <c r="M313" s="2">
        <v>9</v>
      </c>
    </row>
    <row r="314" spans="1:13" x14ac:dyDescent="0.5">
      <c r="A314" t="s">
        <v>410</v>
      </c>
      <c r="B314" s="2">
        <v>22</v>
      </c>
      <c r="C314" s="2" t="str" cm="1">
        <f t="array" ref="C314">_xlfn.IFS(B314&lt;25, "Youth (16–24)", B314&lt;35, "Young Adults (25–34)", B314&lt;45, "Adults (35–44)", B314&lt;55, "Middle-aged (45–54)")</f>
        <v>Youth (16–24)</v>
      </c>
      <c r="D314" t="s">
        <v>16</v>
      </c>
      <c r="E314" s="1">
        <v>5.9</v>
      </c>
      <c r="F314" s="1" t="str" cm="1">
        <f t="array" ref="F314">_xlfn.IFS(E314&lt;3, "Low (0–3 hrs)", E314&lt;6, "Moderate (3–6 hrs)", E314&lt;8, "High (6–8 hrs)", E314&gt;=8, "Very High (8+ hrs)")</f>
        <v>Moderate (3–6 hrs)</v>
      </c>
      <c r="G314" s="2">
        <v>5</v>
      </c>
      <c r="H314" s="2">
        <v>6</v>
      </c>
      <c r="I314" s="2">
        <v>2</v>
      </c>
      <c r="J314" s="2">
        <v>1</v>
      </c>
      <c r="K314" s="2" t="str" cm="1">
        <f t="array" ref="K314">_xlfn.IFS(Table1[[#This Row],[Exercise_Frequency(week)]]&lt;3, "Beginners (0–2 days)", Table1[[#This Row],[Exercise_Frequency(week)]]&lt;5, "Intermediate (3–4 days)", Table1[[#This Row],[Exercise_Frequency(week)]]&lt;8, "Advanced (5–7 days)")</f>
        <v>Beginners (0–2 days)</v>
      </c>
      <c r="L314" t="s">
        <v>13</v>
      </c>
      <c r="M314" s="2">
        <v>9</v>
      </c>
    </row>
    <row r="315" spans="1:13" x14ac:dyDescent="0.5">
      <c r="A315" t="s">
        <v>423</v>
      </c>
      <c r="B315" s="2">
        <v>20</v>
      </c>
      <c r="C315" s="2" t="str" cm="1">
        <f t="array" ref="C315">_xlfn.IFS(B315&lt;25, "Youth (16–24)", B315&lt;35, "Young Adults (25–34)", B315&lt;45, "Adults (35–44)", B315&lt;55, "Middle-aged (45–54)")</f>
        <v>Youth (16–24)</v>
      </c>
      <c r="D315" t="s">
        <v>11</v>
      </c>
      <c r="E315" s="1">
        <v>3.2</v>
      </c>
      <c r="F315" s="1" t="str" cm="1">
        <f t="array" ref="F315">_xlfn.IFS(E315&lt;3, "Low (0–3 hrs)", E315&lt;6, "Moderate (3–6 hrs)", E315&lt;8, "High (6–8 hrs)", E315&gt;=8, "Very High (8+ hrs)")</f>
        <v>Moderate (3–6 hrs)</v>
      </c>
      <c r="G315" s="2">
        <v>7</v>
      </c>
      <c r="H315" s="2">
        <v>5</v>
      </c>
      <c r="I315" s="2">
        <v>5</v>
      </c>
      <c r="J315" s="2">
        <v>1</v>
      </c>
      <c r="K315" s="2" t="str" cm="1">
        <f t="array" ref="K315">_xlfn.IFS(Table1[[#This Row],[Exercise_Frequency(week)]]&lt;3, "Beginners (0–2 days)", Table1[[#This Row],[Exercise_Frequency(week)]]&lt;5, "Intermediate (3–4 days)", Table1[[#This Row],[Exercise_Frequency(week)]]&lt;8, "Advanced (5–7 days)")</f>
        <v>Beginners (0–2 days)</v>
      </c>
      <c r="L315" t="s">
        <v>19</v>
      </c>
      <c r="M315" s="2">
        <v>9</v>
      </c>
    </row>
    <row r="316" spans="1:13" x14ac:dyDescent="0.5">
      <c r="A316" t="s">
        <v>450</v>
      </c>
      <c r="B316" s="2">
        <v>25</v>
      </c>
      <c r="C316" s="2" t="str" cm="1">
        <f t="array" ref="C316">_xlfn.IFS(B316&lt;25, "Youth (16–24)", B316&lt;35, "Young Adults (25–34)", B316&lt;45, "Adults (35–44)", B316&lt;55, "Middle-aged (45–54)")</f>
        <v>Young Adults (25–34)</v>
      </c>
      <c r="D316" t="s">
        <v>11</v>
      </c>
      <c r="E316" s="1">
        <v>4.0999999999999996</v>
      </c>
      <c r="F316" s="1" t="str" cm="1">
        <f t="array" ref="F316">_xlfn.IFS(E316&lt;3, "Low (0–3 hrs)", E316&lt;6, "Moderate (3–6 hrs)", E316&lt;8, "High (6–8 hrs)", E316&gt;=8, "Very High (8+ hrs)")</f>
        <v>Moderate (3–6 hrs)</v>
      </c>
      <c r="G316" s="2">
        <v>6</v>
      </c>
      <c r="H316" s="2">
        <v>5</v>
      </c>
      <c r="I316" s="2">
        <v>5</v>
      </c>
      <c r="J316" s="2">
        <v>1</v>
      </c>
      <c r="K316" s="2" t="str" cm="1">
        <f t="array" ref="K316">_xlfn.IFS(Table1[[#This Row],[Exercise_Frequency(week)]]&lt;3, "Beginners (0–2 days)", Table1[[#This Row],[Exercise_Frequency(week)]]&lt;5, "Intermediate (3–4 days)", Table1[[#This Row],[Exercise_Frequency(week)]]&lt;8, "Advanced (5–7 days)")</f>
        <v>Beginners (0–2 days)</v>
      </c>
      <c r="L316" t="s">
        <v>19</v>
      </c>
      <c r="M316" s="2">
        <v>9</v>
      </c>
    </row>
    <row r="317" spans="1:13" x14ac:dyDescent="0.5">
      <c r="A317" t="s">
        <v>455</v>
      </c>
      <c r="B317" s="2">
        <v>43</v>
      </c>
      <c r="C317" s="2" t="str" cm="1">
        <f t="array" ref="C317">_xlfn.IFS(B317&lt;25, "Youth (16–24)", B317&lt;35, "Young Adults (25–34)", B317&lt;45, "Adults (35–44)", B317&lt;55, "Middle-aged (45–54)")</f>
        <v>Adults (35–44)</v>
      </c>
      <c r="D317" t="s">
        <v>11</v>
      </c>
      <c r="E317" s="1">
        <v>6</v>
      </c>
      <c r="F317" s="1" t="str" cm="1">
        <f t="array" ref="F317">_xlfn.IFS(E317&lt;3, "Low (0–3 hrs)", E317&lt;6, "Moderate (3–6 hrs)", E317&lt;8, "High (6–8 hrs)", E317&gt;=8, "Very High (8+ hrs)")</f>
        <v>High (6–8 hrs)</v>
      </c>
      <c r="G317" s="2">
        <v>6</v>
      </c>
      <c r="H317" s="2">
        <v>5</v>
      </c>
      <c r="I317" s="2">
        <v>5</v>
      </c>
      <c r="J317" s="2">
        <v>1</v>
      </c>
      <c r="K317" s="2" t="str" cm="1">
        <f t="array" ref="K317">_xlfn.IFS(Table1[[#This Row],[Exercise_Frequency(week)]]&lt;3, "Beginners (0–2 days)", Table1[[#This Row],[Exercise_Frequency(week)]]&lt;5, "Intermediate (3–4 days)", Table1[[#This Row],[Exercise_Frequency(week)]]&lt;8, "Advanced (5–7 days)")</f>
        <v>Beginners (0–2 days)</v>
      </c>
      <c r="L317" t="s">
        <v>23</v>
      </c>
      <c r="M317" s="2">
        <v>9</v>
      </c>
    </row>
    <row r="318" spans="1:13" x14ac:dyDescent="0.5">
      <c r="A318" t="s">
        <v>473</v>
      </c>
      <c r="B318" s="2">
        <v>33</v>
      </c>
      <c r="C318" s="2" t="str" cm="1">
        <f t="array" ref="C318">_xlfn.IFS(B318&lt;25, "Youth (16–24)", B318&lt;35, "Young Adults (25–34)", B318&lt;45, "Adults (35–44)", B318&lt;55, "Middle-aged (45–54)")</f>
        <v>Young Adults (25–34)</v>
      </c>
      <c r="D318" t="s">
        <v>11</v>
      </c>
      <c r="E318" s="1">
        <v>6.8</v>
      </c>
      <c r="F318" s="1" t="str" cm="1">
        <f t="array" ref="F318">_xlfn.IFS(E318&lt;3, "Low (0–3 hrs)", E318&lt;6, "Moderate (3–6 hrs)", E318&lt;8, "High (6–8 hrs)", E318&gt;=8, "Very High (8+ hrs)")</f>
        <v>High (6–8 hrs)</v>
      </c>
      <c r="G318" s="2">
        <v>6</v>
      </c>
      <c r="H318" s="2">
        <v>8</v>
      </c>
      <c r="I318" s="2">
        <v>2</v>
      </c>
      <c r="J318" s="2">
        <v>1</v>
      </c>
      <c r="K318" s="2" t="str" cm="1">
        <f t="array" ref="K318">_xlfn.IFS(Table1[[#This Row],[Exercise_Frequency(week)]]&lt;3, "Beginners (0–2 days)", Table1[[#This Row],[Exercise_Frequency(week)]]&lt;5, "Intermediate (3–4 days)", Table1[[#This Row],[Exercise_Frequency(week)]]&lt;8, "Advanced (5–7 days)")</f>
        <v>Beginners (0–2 days)</v>
      </c>
      <c r="L318" t="s">
        <v>17</v>
      </c>
      <c r="M318" s="2">
        <v>9</v>
      </c>
    </row>
    <row r="319" spans="1:13" x14ac:dyDescent="0.5">
      <c r="A319" t="s">
        <v>479</v>
      </c>
      <c r="B319" s="2">
        <v>31</v>
      </c>
      <c r="C319" s="2" t="str" cm="1">
        <f t="array" ref="C319">_xlfn.IFS(B319&lt;25, "Youth (16–24)", B319&lt;35, "Young Adults (25–34)", B319&lt;45, "Adults (35–44)", B319&lt;55, "Middle-aged (45–54)")</f>
        <v>Young Adults (25–34)</v>
      </c>
      <c r="D319" t="s">
        <v>16</v>
      </c>
      <c r="E319" s="1">
        <v>3.7</v>
      </c>
      <c r="F319" s="1" t="str" cm="1">
        <f t="array" ref="F319">_xlfn.IFS(E319&lt;3, "Low (0–3 hrs)", E319&lt;6, "Moderate (3–6 hrs)", E319&lt;8, "High (6–8 hrs)", E319&gt;=8, "Very High (8+ hrs)")</f>
        <v>Moderate (3–6 hrs)</v>
      </c>
      <c r="G319" s="2">
        <v>7</v>
      </c>
      <c r="H319" s="2">
        <v>7</v>
      </c>
      <c r="I319" s="2">
        <v>0</v>
      </c>
      <c r="J319" s="2">
        <v>1</v>
      </c>
      <c r="K319" s="2" t="str" cm="1">
        <f t="array" ref="K319">_xlfn.IFS(Table1[[#This Row],[Exercise_Frequency(week)]]&lt;3, "Beginners (0–2 days)", Table1[[#This Row],[Exercise_Frequency(week)]]&lt;5, "Intermediate (3–4 days)", Table1[[#This Row],[Exercise_Frequency(week)]]&lt;8, "Advanced (5–7 days)")</f>
        <v>Beginners (0–2 days)</v>
      </c>
      <c r="L319" t="s">
        <v>13</v>
      </c>
      <c r="M319" s="2">
        <v>9</v>
      </c>
    </row>
    <row r="320" spans="1:13" x14ac:dyDescent="0.5">
      <c r="A320" t="s">
        <v>111</v>
      </c>
      <c r="B320" s="2">
        <v>19</v>
      </c>
      <c r="C320" s="2" t="str" cm="1">
        <f t="array" ref="C320">_xlfn.IFS(B320&lt;25, "Youth (16–24)", B320&lt;35, "Young Adults (25–34)", B320&lt;45, "Adults (35–44)", B320&lt;55, "Middle-aged (45–54)")</f>
        <v>Youth (16–24)</v>
      </c>
      <c r="D320" t="s">
        <v>11</v>
      </c>
      <c r="E320" s="1">
        <v>7.2</v>
      </c>
      <c r="F320" s="1" t="str" cm="1">
        <f t="array" ref="F320">_xlfn.IFS(E320&lt;3, "Low (0–3 hrs)", E320&lt;6, "Moderate (3–6 hrs)", E320&lt;8, "High (6–8 hrs)", E320&gt;=8, "Very High (8+ hrs)")</f>
        <v>High (6–8 hrs)</v>
      </c>
      <c r="G320" s="2">
        <v>5</v>
      </c>
      <c r="H320" s="2">
        <v>6</v>
      </c>
      <c r="I320" s="2">
        <v>1</v>
      </c>
      <c r="J320" s="2">
        <v>0</v>
      </c>
      <c r="K320" s="2" t="str" cm="1">
        <f t="array" ref="K320">_xlfn.IFS(Table1[[#This Row],[Exercise_Frequency(week)]]&lt;3, "Beginners (0–2 days)", Table1[[#This Row],[Exercise_Frequency(week)]]&lt;5, "Intermediate (3–4 days)", Table1[[#This Row],[Exercise_Frequency(week)]]&lt;8, "Advanced (5–7 days)")</f>
        <v>Beginners (0–2 days)</v>
      </c>
      <c r="L320" t="s">
        <v>13</v>
      </c>
      <c r="M320" s="2">
        <v>9</v>
      </c>
    </row>
    <row r="321" spans="1:13" x14ac:dyDescent="0.5">
      <c r="A321" t="s">
        <v>136</v>
      </c>
      <c r="B321" s="2">
        <v>23</v>
      </c>
      <c r="C321" s="2" t="str" cm="1">
        <f t="array" ref="C321">_xlfn.IFS(B321&lt;25, "Youth (16–24)", B321&lt;35, "Young Adults (25–34)", B321&lt;45, "Adults (35–44)", B321&lt;55, "Middle-aged (45–54)")</f>
        <v>Youth (16–24)</v>
      </c>
      <c r="D321" t="s">
        <v>11</v>
      </c>
      <c r="E321" s="1">
        <v>5.9</v>
      </c>
      <c r="F321" s="1" t="str" cm="1">
        <f t="array" ref="F321">_xlfn.IFS(E321&lt;3, "Low (0–3 hrs)", E321&lt;6, "Moderate (3–6 hrs)", E321&lt;8, "High (6–8 hrs)", E321&gt;=8, "Very High (8+ hrs)")</f>
        <v>Moderate (3–6 hrs)</v>
      </c>
      <c r="G321" s="2">
        <v>5</v>
      </c>
      <c r="H321" s="2">
        <v>5</v>
      </c>
      <c r="I321" s="2">
        <v>4</v>
      </c>
      <c r="J321" s="2">
        <v>0</v>
      </c>
      <c r="K321" s="2" t="str" cm="1">
        <f t="array" ref="K321">_xlfn.IFS(Table1[[#This Row],[Exercise_Frequency(week)]]&lt;3, "Beginners (0–2 days)", Table1[[#This Row],[Exercise_Frequency(week)]]&lt;5, "Intermediate (3–4 days)", Table1[[#This Row],[Exercise_Frequency(week)]]&lt;8, "Advanced (5–7 days)")</f>
        <v>Beginners (0–2 days)</v>
      </c>
      <c r="L321" t="s">
        <v>19</v>
      </c>
      <c r="M321" s="2">
        <v>9</v>
      </c>
    </row>
    <row r="322" spans="1:13" x14ac:dyDescent="0.5">
      <c r="A322" t="s">
        <v>183</v>
      </c>
      <c r="B322" s="2">
        <v>47</v>
      </c>
      <c r="C322" s="2" t="str" cm="1">
        <f t="array" ref="C322">_xlfn.IFS(B322&lt;25, "Youth (16–24)", B322&lt;35, "Young Adults (25–34)", B322&lt;45, "Adults (35–44)", B322&lt;55, "Middle-aged (45–54)")</f>
        <v>Middle-aged (45–54)</v>
      </c>
      <c r="D322" t="s">
        <v>11</v>
      </c>
      <c r="E322" s="1">
        <v>5.0999999999999996</v>
      </c>
      <c r="F322" s="1" t="str" cm="1">
        <f t="array" ref="F322">_xlfn.IFS(E322&lt;3, "Low (0–3 hrs)", E322&lt;6, "Moderate (3–6 hrs)", E322&lt;8, "High (6–8 hrs)", E322&gt;=8, "Very High (8+ hrs)")</f>
        <v>Moderate (3–6 hrs)</v>
      </c>
      <c r="G322" s="2">
        <v>7</v>
      </c>
      <c r="H322" s="2">
        <v>4</v>
      </c>
      <c r="I322" s="2">
        <v>2</v>
      </c>
      <c r="J322" s="2">
        <v>0</v>
      </c>
      <c r="K322" s="2" t="str" cm="1">
        <f t="array" ref="K322">_xlfn.IFS(Table1[[#This Row],[Exercise_Frequency(week)]]&lt;3, "Beginners (0–2 days)", Table1[[#This Row],[Exercise_Frequency(week)]]&lt;5, "Intermediate (3–4 days)", Table1[[#This Row],[Exercise_Frequency(week)]]&lt;8, "Advanced (5–7 days)")</f>
        <v>Beginners (0–2 days)</v>
      </c>
      <c r="L322" t="s">
        <v>17</v>
      </c>
      <c r="M322" s="2">
        <v>9</v>
      </c>
    </row>
    <row r="323" spans="1:13" x14ac:dyDescent="0.5">
      <c r="A323" t="s">
        <v>275</v>
      </c>
      <c r="B323" s="2">
        <v>39</v>
      </c>
      <c r="C323" s="2" t="str" cm="1">
        <f t="array" ref="C323">_xlfn.IFS(B323&lt;25, "Youth (16–24)", B323&lt;35, "Young Adults (25–34)", B323&lt;45, "Adults (35–44)", B323&lt;55, "Middle-aged (45–54)")</f>
        <v>Adults (35–44)</v>
      </c>
      <c r="D323" t="s">
        <v>11</v>
      </c>
      <c r="E323" s="1">
        <v>6.9</v>
      </c>
      <c r="F323" s="1" t="str" cm="1">
        <f t="array" ref="F323">_xlfn.IFS(E323&lt;3, "Low (0–3 hrs)", E323&lt;6, "Moderate (3–6 hrs)", E323&lt;8, "High (6–8 hrs)", E323&gt;=8, "Very High (8+ hrs)")</f>
        <v>High (6–8 hrs)</v>
      </c>
      <c r="G323" s="2">
        <v>5</v>
      </c>
      <c r="H323" s="2">
        <v>7</v>
      </c>
      <c r="I323" s="2">
        <v>3</v>
      </c>
      <c r="J323" s="2">
        <v>0</v>
      </c>
      <c r="K323" s="2" t="str" cm="1">
        <f t="array" ref="K323">_xlfn.IFS(Table1[[#This Row],[Exercise_Frequency(week)]]&lt;3, "Beginners (0–2 days)", Table1[[#This Row],[Exercise_Frequency(week)]]&lt;5, "Intermediate (3–4 days)", Table1[[#This Row],[Exercise_Frequency(week)]]&lt;8, "Advanced (5–7 days)")</f>
        <v>Beginners (0–2 days)</v>
      </c>
      <c r="L323" t="s">
        <v>14</v>
      </c>
      <c r="M323" s="2">
        <v>9</v>
      </c>
    </row>
    <row r="324" spans="1:13" x14ac:dyDescent="0.5">
      <c r="A324" t="s">
        <v>314</v>
      </c>
      <c r="B324" s="2">
        <v>16</v>
      </c>
      <c r="C324" s="2" t="str" cm="1">
        <f t="array" ref="C324">_xlfn.IFS(B324&lt;25, "Youth (16–24)", B324&lt;35, "Young Adults (25–34)", B324&lt;45, "Adults (35–44)", B324&lt;55, "Middle-aged (45–54)")</f>
        <v>Youth (16–24)</v>
      </c>
      <c r="D324" t="s">
        <v>16</v>
      </c>
      <c r="E324" s="1">
        <v>5.3</v>
      </c>
      <c r="F324" s="1" t="str" cm="1">
        <f t="array" ref="F324">_xlfn.IFS(E324&lt;3, "Low (0–3 hrs)", E324&lt;6, "Moderate (3–6 hrs)", E324&lt;8, "High (6–8 hrs)", E324&gt;=8, "Very High (8+ hrs)")</f>
        <v>Moderate (3–6 hrs)</v>
      </c>
      <c r="G324" s="2">
        <v>6</v>
      </c>
      <c r="H324" s="2">
        <v>6</v>
      </c>
      <c r="I324" s="2">
        <v>6</v>
      </c>
      <c r="J324" s="2">
        <v>0</v>
      </c>
      <c r="K324" s="2" t="str" cm="1">
        <f t="array" ref="K324">_xlfn.IFS(Table1[[#This Row],[Exercise_Frequency(week)]]&lt;3, "Beginners (0–2 days)", Table1[[#This Row],[Exercise_Frequency(week)]]&lt;5, "Intermediate (3–4 days)", Table1[[#This Row],[Exercise_Frequency(week)]]&lt;8, "Advanced (5–7 days)")</f>
        <v>Beginners (0–2 days)</v>
      </c>
      <c r="L324" t="s">
        <v>12</v>
      </c>
      <c r="M324" s="2">
        <v>9</v>
      </c>
    </row>
    <row r="325" spans="1:13" x14ac:dyDescent="0.5">
      <c r="A325" t="s">
        <v>369</v>
      </c>
      <c r="B325" s="2">
        <v>28</v>
      </c>
      <c r="C325" s="2" t="str" cm="1">
        <f t="array" ref="C325">_xlfn.IFS(B325&lt;25, "Youth (16–24)", B325&lt;35, "Young Adults (25–34)", B325&lt;45, "Adults (35–44)", B325&lt;55, "Middle-aged (45–54)")</f>
        <v>Young Adults (25–34)</v>
      </c>
      <c r="D325" t="s">
        <v>16</v>
      </c>
      <c r="E325" s="1">
        <v>5</v>
      </c>
      <c r="F325" s="1" t="str" cm="1">
        <f t="array" ref="F325">_xlfn.IFS(E325&lt;3, "Low (0–3 hrs)", E325&lt;6, "Moderate (3–6 hrs)", E325&lt;8, "High (6–8 hrs)", E325&gt;=8, "Very High (8+ hrs)")</f>
        <v>Moderate (3–6 hrs)</v>
      </c>
      <c r="G325" s="2">
        <v>7</v>
      </c>
      <c r="H325" s="2">
        <v>5</v>
      </c>
      <c r="I325" s="2">
        <v>4</v>
      </c>
      <c r="J325" s="2">
        <v>0</v>
      </c>
      <c r="K325" s="2" t="str" cm="1">
        <f t="array" ref="K325">_xlfn.IFS(Table1[[#This Row],[Exercise_Frequency(week)]]&lt;3, "Beginners (0–2 days)", Table1[[#This Row],[Exercise_Frequency(week)]]&lt;5, "Intermediate (3–4 days)", Table1[[#This Row],[Exercise_Frequency(week)]]&lt;8, "Advanced (5–7 days)")</f>
        <v>Beginners (0–2 days)</v>
      </c>
      <c r="L325" t="s">
        <v>13</v>
      </c>
      <c r="M325" s="2">
        <v>9</v>
      </c>
    </row>
    <row r="326" spans="1:13" x14ac:dyDescent="0.5">
      <c r="A326" t="s">
        <v>49</v>
      </c>
      <c r="B326" s="2">
        <v>23</v>
      </c>
      <c r="C326" s="2" t="str" cm="1">
        <f t="array" ref="C326">_xlfn.IFS(B326&lt;25, "Youth (16–24)", B326&lt;35, "Young Adults (25–34)", B326&lt;45, "Adults (35–44)", B326&lt;55, "Middle-aged (45–54)")</f>
        <v>Youth (16–24)</v>
      </c>
      <c r="D326" t="s">
        <v>16</v>
      </c>
      <c r="E326" s="1">
        <v>1</v>
      </c>
      <c r="F326" s="1" t="str" cm="1">
        <f t="array" ref="F326">_xlfn.IFS(E326&lt;3, "Low (0–3 hrs)", E326&lt;6, "Moderate (3–6 hrs)", E326&lt;8, "High (6–8 hrs)", E326&gt;=8, "Very High (8+ hrs)")</f>
        <v>Low (0–3 hrs)</v>
      </c>
      <c r="G326" s="2">
        <v>9</v>
      </c>
      <c r="H326" s="2">
        <v>5</v>
      </c>
      <c r="I326" s="2">
        <v>5</v>
      </c>
      <c r="J326" s="2">
        <v>7</v>
      </c>
      <c r="K326" s="2" t="str" cm="1">
        <f t="array" ref="K326">_xlfn.IFS(Table1[[#This Row],[Exercise_Frequency(week)]]&lt;3, "Beginners (0–2 days)", Table1[[#This Row],[Exercise_Frequency(week)]]&lt;5, "Intermediate (3–4 days)", Table1[[#This Row],[Exercise_Frequency(week)]]&lt;8, "Advanced (5–7 days)")</f>
        <v>Advanced (5–7 days)</v>
      </c>
      <c r="L326" t="s">
        <v>12</v>
      </c>
      <c r="M326" s="2">
        <v>10</v>
      </c>
    </row>
    <row r="327" spans="1:13" x14ac:dyDescent="0.5">
      <c r="A327" t="s">
        <v>484</v>
      </c>
      <c r="B327" s="2">
        <v>47</v>
      </c>
      <c r="C327" s="2" t="str" cm="1">
        <f t="array" ref="C327">_xlfn.IFS(B327&lt;25, "Youth (16–24)", B327&lt;35, "Young Adults (25–34)", B327&lt;45, "Adults (35–44)", B327&lt;55, "Middle-aged (45–54)")</f>
        <v>Middle-aged (45–54)</v>
      </c>
      <c r="D327" t="s">
        <v>16</v>
      </c>
      <c r="E327" s="1">
        <v>4.9000000000000004</v>
      </c>
      <c r="F327" s="1" t="str" cm="1">
        <f t="array" ref="F327">_xlfn.IFS(E327&lt;3, "Low (0–3 hrs)", E327&lt;6, "Moderate (3–6 hrs)", E327&lt;8, "High (6–8 hrs)", E327&gt;=8, "Very High (8+ hrs)")</f>
        <v>Moderate (3–6 hrs)</v>
      </c>
      <c r="G327" s="2">
        <v>7</v>
      </c>
      <c r="H327" s="2">
        <v>7</v>
      </c>
      <c r="I327" s="2">
        <v>1</v>
      </c>
      <c r="J327" s="2">
        <v>7</v>
      </c>
      <c r="K327" s="2" t="str" cm="1">
        <f t="array" ref="K327">_xlfn.IFS(Table1[[#This Row],[Exercise_Frequency(week)]]&lt;3, "Beginners (0–2 days)", Table1[[#This Row],[Exercise_Frequency(week)]]&lt;5, "Intermediate (3–4 days)", Table1[[#This Row],[Exercise_Frequency(week)]]&lt;8, "Advanced (5–7 days)")</f>
        <v>Advanced (5–7 days)</v>
      </c>
      <c r="L327" t="s">
        <v>23</v>
      </c>
      <c r="M327" s="2">
        <v>10</v>
      </c>
    </row>
    <row r="328" spans="1:13" x14ac:dyDescent="0.5">
      <c r="A328" t="s">
        <v>101</v>
      </c>
      <c r="B328" s="2">
        <v>41</v>
      </c>
      <c r="C328" s="2" t="str" cm="1">
        <f t="array" ref="C328">_xlfn.IFS(B328&lt;25, "Youth (16–24)", B328&lt;35, "Young Adults (25–34)", B328&lt;45, "Adults (35–44)", B328&lt;55, "Middle-aged (45–54)")</f>
        <v>Adults (35–44)</v>
      </c>
      <c r="D328" t="s">
        <v>16</v>
      </c>
      <c r="E328" s="1">
        <v>1</v>
      </c>
      <c r="F328" s="1" t="str" cm="1">
        <f t="array" ref="F328">_xlfn.IFS(E328&lt;3, "Low (0–3 hrs)", E328&lt;6, "Moderate (3–6 hrs)", E328&lt;8, "High (6–8 hrs)", E328&gt;=8, "Very High (8+ hrs)")</f>
        <v>Low (0–3 hrs)</v>
      </c>
      <c r="G328" s="2">
        <v>7</v>
      </c>
      <c r="H328" s="2">
        <v>5</v>
      </c>
      <c r="I328" s="2">
        <v>2</v>
      </c>
      <c r="J328" s="2">
        <v>6</v>
      </c>
      <c r="K328" s="2" t="str" cm="1">
        <f t="array" ref="K328">_xlfn.IFS(Table1[[#This Row],[Exercise_Frequency(week)]]&lt;3, "Beginners (0–2 days)", Table1[[#This Row],[Exercise_Frequency(week)]]&lt;5, "Intermediate (3–4 days)", Table1[[#This Row],[Exercise_Frequency(week)]]&lt;8, "Advanced (5–7 days)")</f>
        <v>Advanced (5–7 days)</v>
      </c>
      <c r="L328" t="s">
        <v>17</v>
      </c>
      <c r="M328" s="2">
        <v>10</v>
      </c>
    </row>
    <row r="329" spans="1:13" x14ac:dyDescent="0.5">
      <c r="A329" t="s">
        <v>295</v>
      </c>
      <c r="B329" s="2">
        <v>30</v>
      </c>
      <c r="C329" s="2" t="str" cm="1">
        <f t="array" ref="C329">_xlfn.IFS(B329&lt;25, "Youth (16–24)", B329&lt;35, "Young Adults (25–34)", B329&lt;45, "Adults (35–44)", B329&lt;55, "Middle-aged (45–54)")</f>
        <v>Young Adults (25–34)</v>
      </c>
      <c r="D329" t="s">
        <v>16</v>
      </c>
      <c r="E329" s="1">
        <v>1.7</v>
      </c>
      <c r="F329" s="1" t="str" cm="1">
        <f t="array" ref="F329">_xlfn.IFS(E329&lt;3, "Low (0–3 hrs)", E329&lt;6, "Moderate (3–6 hrs)", E329&lt;8, "High (6–8 hrs)", E329&gt;=8, "Very High (8+ hrs)")</f>
        <v>Low (0–3 hrs)</v>
      </c>
      <c r="G329" s="2">
        <v>9</v>
      </c>
      <c r="H329" s="2">
        <v>4</v>
      </c>
      <c r="I329" s="2">
        <v>3</v>
      </c>
      <c r="J329" s="2">
        <v>6</v>
      </c>
      <c r="K329" s="2" t="str" cm="1">
        <f t="array" ref="K329">_xlfn.IFS(Table1[[#This Row],[Exercise_Frequency(week)]]&lt;3, "Beginners (0–2 days)", Table1[[#This Row],[Exercise_Frequency(week)]]&lt;5, "Intermediate (3–4 days)", Table1[[#This Row],[Exercise_Frequency(week)]]&lt;8, "Advanced (5–7 days)")</f>
        <v>Advanced (5–7 days)</v>
      </c>
      <c r="L329" t="s">
        <v>17</v>
      </c>
      <c r="M329" s="2">
        <v>10</v>
      </c>
    </row>
    <row r="330" spans="1:13" x14ac:dyDescent="0.5">
      <c r="A330" t="s">
        <v>10</v>
      </c>
      <c r="B330" s="2">
        <v>44</v>
      </c>
      <c r="C330" s="2" t="str" cm="1">
        <f t="array" ref="C330">_xlfn.IFS(B330&lt;25, "Youth (16–24)", B330&lt;35, "Young Adults (25–34)", B330&lt;45, "Adults (35–44)", B330&lt;55, "Middle-aged (45–54)")</f>
        <v>Adults (35–44)</v>
      </c>
      <c r="D330" t="s">
        <v>11</v>
      </c>
      <c r="E330" s="1">
        <v>3.1</v>
      </c>
      <c r="F330" s="1" t="str" cm="1">
        <f t="array" ref="F330">_xlfn.IFS(E330&lt;3, "Low (0–3 hrs)", E330&lt;6, "Moderate (3–6 hrs)", E330&lt;8, "High (6–8 hrs)", E330&gt;=8, "Very High (8+ hrs)")</f>
        <v>Moderate (3–6 hrs)</v>
      </c>
      <c r="G330" s="2">
        <v>7</v>
      </c>
      <c r="H330" s="2">
        <v>6</v>
      </c>
      <c r="I330" s="2">
        <v>2</v>
      </c>
      <c r="J330" s="2">
        <v>5</v>
      </c>
      <c r="K330" s="2" t="str" cm="1">
        <f t="array" ref="K330">_xlfn.IFS(Table1[[#This Row],[Exercise_Frequency(week)]]&lt;3, "Beginners (0–2 days)", Table1[[#This Row],[Exercise_Frequency(week)]]&lt;5, "Intermediate (3–4 days)", Table1[[#This Row],[Exercise_Frequency(week)]]&lt;8, "Advanced (5–7 days)")</f>
        <v>Advanced (5–7 days)</v>
      </c>
      <c r="L330" t="s">
        <v>12</v>
      </c>
      <c r="M330" s="2">
        <v>10</v>
      </c>
    </row>
    <row r="331" spans="1:13" x14ac:dyDescent="0.5">
      <c r="A331" t="s">
        <v>30</v>
      </c>
      <c r="B331" s="2">
        <v>17</v>
      </c>
      <c r="C331" s="2" t="str" cm="1">
        <f t="array" ref="C331">_xlfn.IFS(B331&lt;25, "Youth (16–24)", B331&lt;35, "Young Adults (25–34)", B331&lt;45, "Adults (35–44)", B331&lt;55, "Middle-aged (45–54)")</f>
        <v>Youth (16–24)</v>
      </c>
      <c r="D331" t="s">
        <v>16</v>
      </c>
      <c r="E331" s="1">
        <v>5.0999999999999996</v>
      </c>
      <c r="F331" s="1" t="str" cm="1">
        <f t="array" ref="F331">_xlfn.IFS(E331&lt;3, "Low (0–3 hrs)", E331&lt;6, "Moderate (3–6 hrs)", E331&lt;8, "High (6–8 hrs)", E331&gt;=8, "Very High (8+ hrs)")</f>
        <v>Moderate (3–6 hrs)</v>
      </c>
      <c r="G331" s="2">
        <v>7</v>
      </c>
      <c r="H331" s="2">
        <v>6</v>
      </c>
      <c r="I331" s="2">
        <v>2</v>
      </c>
      <c r="J331" s="2">
        <v>5</v>
      </c>
      <c r="K331" s="2" t="str" cm="1">
        <f t="array" ref="K331">_xlfn.IFS(Table1[[#This Row],[Exercise_Frequency(week)]]&lt;3, "Beginners (0–2 days)", Table1[[#This Row],[Exercise_Frequency(week)]]&lt;5, "Intermediate (3–4 days)", Table1[[#This Row],[Exercise_Frequency(week)]]&lt;8, "Advanced (5–7 days)")</f>
        <v>Advanced (5–7 days)</v>
      </c>
      <c r="L331" t="s">
        <v>13</v>
      </c>
      <c r="M331" s="2">
        <v>10</v>
      </c>
    </row>
    <row r="332" spans="1:13" x14ac:dyDescent="0.5">
      <c r="A332" t="s">
        <v>81</v>
      </c>
      <c r="B332" s="2">
        <v>39</v>
      </c>
      <c r="C332" s="2" t="str" cm="1">
        <f t="array" ref="C332">_xlfn.IFS(B332&lt;25, "Youth (16–24)", B332&lt;35, "Young Adults (25–34)", B332&lt;45, "Adults (35–44)", B332&lt;55, "Middle-aged (45–54)")</f>
        <v>Adults (35–44)</v>
      </c>
      <c r="D332" t="s">
        <v>11</v>
      </c>
      <c r="E332" s="1">
        <v>6.1</v>
      </c>
      <c r="F332" s="1" t="str" cm="1">
        <f t="array" ref="F332">_xlfn.IFS(E332&lt;3, "Low (0–3 hrs)", E332&lt;6, "Moderate (3–6 hrs)", E332&lt;8, "High (6–8 hrs)", E332&gt;=8, "Very High (8+ hrs)")</f>
        <v>High (6–8 hrs)</v>
      </c>
      <c r="G332" s="2">
        <v>5</v>
      </c>
      <c r="H332" s="2">
        <v>5</v>
      </c>
      <c r="I332" s="2">
        <v>1</v>
      </c>
      <c r="J332" s="2">
        <v>5</v>
      </c>
      <c r="K332" s="2" t="str" cm="1">
        <f t="array" ref="K332">_xlfn.IFS(Table1[[#This Row],[Exercise_Frequency(week)]]&lt;3, "Beginners (0–2 days)", Table1[[#This Row],[Exercise_Frequency(week)]]&lt;5, "Intermediate (3–4 days)", Table1[[#This Row],[Exercise_Frequency(week)]]&lt;8, "Advanced (5–7 days)")</f>
        <v>Advanced (5–7 days)</v>
      </c>
      <c r="L332" t="s">
        <v>17</v>
      </c>
      <c r="M332" s="2">
        <v>10</v>
      </c>
    </row>
    <row r="333" spans="1:13" x14ac:dyDescent="0.5">
      <c r="A333" t="s">
        <v>179</v>
      </c>
      <c r="B333" s="2">
        <v>41</v>
      </c>
      <c r="C333" s="2" t="str" cm="1">
        <f t="array" ref="C333">_xlfn.IFS(B333&lt;25, "Youth (16–24)", B333&lt;35, "Young Adults (25–34)", B333&lt;45, "Adults (35–44)", B333&lt;55, "Middle-aged (45–54)")</f>
        <v>Adults (35–44)</v>
      </c>
      <c r="D333" t="s">
        <v>11</v>
      </c>
      <c r="E333" s="1">
        <v>4.9000000000000004</v>
      </c>
      <c r="F333" s="1" t="str" cm="1">
        <f t="array" ref="F333">_xlfn.IFS(E333&lt;3, "Low (0–3 hrs)", E333&lt;6, "Moderate (3–6 hrs)", E333&lt;8, "High (6–8 hrs)", E333&gt;=8, "Very High (8+ hrs)")</f>
        <v>Moderate (3–6 hrs)</v>
      </c>
      <c r="G333" s="2">
        <v>7</v>
      </c>
      <c r="H333" s="2">
        <v>5</v>
      </c>
      <c r="I333" s="2">
        <v>5</v>
      </c>
      <c r="J333" s="2">
        <v>5</v>
      </c>
      <c r="K333" s="2" t="str" cm="1">
        <f t="array" ref="K333">_xlfn.IFS(Table1[[#This Row],[Exercise_Frequency(week)]]&lt;3, "Beginners (0–2 days)", Table1[[#This Row],[Exercise_Frequency(week)]]&lt;5, "Intermediate (3–4 days)", Table1[[#This Row],[Exercise_Frequency(week)]]&lt;8, "Advanced (5–7 days)")</f>
        <v>Advanced (5–7 days)</v>
      </c>
      <c r="L333" t="s">
        <v>14</v>
      </c>
      <c r="M333" s="2">
        <v>10</v>
      </c>
    </row>
    <row r="334" spans="1:13" x14ac:dyDescent="0.5">
      <c r="A334" t="s">
        <v>190</v>
      </c>
      <c r="B334" s="2">
        <v>46</v>
      </c>
      <c r="C334" s="2" t="str" cm="1">
        <f t="array" ref="C334">_xlfn.IFS(B334&lt;25, "Youth (16–24)", B334&lt;35, "Young Adults (25–34)", B334&lt;45, "Adults (35–44)", B334&lt;55, "Middle-aged (45–54)")</f>
        <v>Middle-aged (45–54)</v>
      </c>
      <c r="D334" t="s">
        <v>16</v>
      </c>
      <c r="E334" s="1">
        <v>3.6</v>
      </c>
      <c r="F334" s="1" t="str" cm="1">
        <f t="array" ref="F334">_xlfn.IFS(E334&lt;3, "Low (0–3 hrs)", E334&lt;6, "Moderate (3–6 hrs)", E334&lt;8, "High (6–8 hrs)", E334&gt;=8, "Very High (8+ hrs)")</f>
        <v>Moderate (3–6 hrs)</v>
      </c>
      <c r="G334" s="2">
        <v>9</v>
      </c>
      <c r="H334" s="2">
        <v>5</v>
      </c>
      <c r="I334" s="2">
        <v>4</v>
      </c>
      <c r="J334" s="2">
        <v>5</v>
      </c>
      <c r="K334" s="2" t="str" cm="1">
        <f t="array" ref="K334">_xlfn.IFS(Table1[[#This Row],[Exercise_Frequency(week)]]&lt;3, "Beginners (0–2 days)", Table1[[#This Row],[Exercise_Frequency(week)]]&lt;5, "Intermediate (3–4 days)", Table1[[#This Row],[Exercise_Frequency(week)]]&lt;8, "Advanced (5–7 days)")</f>
        <v>Advanced (5–7 days)</v>
      </c>
      <c r="L334" t="s">
        <v>17</v>
      </c>
      <c r="M334" s="2">
        <v>10</v>
      </c>
    </row>
    <row r="335" spans="1:13" x14ac:dyDescent="0.5">
      <c r="A335" t="s">
        <v>244</v>
      </c>
      <c r="B335" s="2">
        <v>43</v>
      </c>
      <c r="C335" s="2" t="str" cm="1">
        <f t="array" ref="C335">_xlfn.IFS(B335&lt;25, "Youth (16–24)", B335&lt;35, "Young Adults (25–34)", B335&lt;45, "Adults (35–44)", B335&lt;55, "Middle-aged (45–54)")</f>
        <v>Adults (35–44)</v>
      </c>
      <c r="D335" t="s">
        <v>11</v>
      </c>
      <c r="E335" s="1">
        <v>4.8</v>
      </c>
      <c r="F335" s="1" t="str" cm="1">
        <f t="array" ref="F335">_xlfn.IFS(E335&lt;3, "Low (0–3 hrs)", E335&lt;6, "Moderate (3–6 hrs)", E335&lt;8, "High (6–8 hrs)", E335&gt;=8, "Very High (8+ hrs)")</f>
        <v>Moderate (3–6 hrs)</v>
      </c>
      <c r="G335" s="2">
        <v>6</v>
      </c>
      <c r="H335" s="2">
        <v>5</v>
      </c>
      <c r="I335" s="2">
        <v>3</v>
      </c>
      <c r="J335" s="2">
        <v>5</v>
      </c>
      <c r="K335" s="2" t="str" cm="1">
        <f t="array" ref="K335">_xlfn.IFS(Table1[[#This Row],[Exercise_Frequency(week)]]&lt;3, "Beginners (0–2 days)", Table1[[#This Row],[Exercise_Frequency(week)]]&lt;5, "Intermediate (3–4 days)", Table1[[#This Row],[Exercise_Frequency(week)]]&lt;8, "Advanced (5–7 days)")</f>
        <v>Advanced (5–7 days)</v>
      </c>
      <c r="L335" t="s">
        <v>14</v>
      </c>
      <c r="M335" s="2">
        <v>10</v>
      </c>
    </row>
    <row r="336" spans="1:13" x14ac:dyDescent="0.5">
      <c r="A336" t="s">
        <v>279</v>
      </c>
      <c r="B336" s="2">
        <v>16</v>
      </c>
      <c r="C336" s="2" t="str" cm="1">
        <f t="array" ref="C336">_xlfn.IFS(B336&lt;25, "Youth (16–24)", B336&lt;35, "Young Adults (25–34)", B336&lt;45, "Adults (35–44)", B336&lt;55, "Middle-aged (45–54)")</f>
        <v>Youth (16–24)</v>
      </c>
      <c r="D336" t="s">
        <v>16</v>
      </c>
      <c r="E336" s="1">
        <v>5</v>
      </c>
      <c r="F336" s="1" t="str" cm="1">
        <f t="array" ref="F336">_xlfn.IFS(E336&lt;3, "Low (0–3 hrs)", E336&lt;6, "Moderate (3–6 hrs)", E336&lt;8, "High (6–8 hrs)", E336&gt;=8, "Very High (8+ hrs)")</f>
        <v>Moderate (3–6 hrs)</v>
      </c>
      <c r="G336" s="2">
        <v>7</v>
      </c>
      <c r="H336" s="2">
        <v>6</v>
      </c>
      <c r="I336" s="2">
        <v>1</v>
      </c>
      <c r="J336" s="2">
        <v>5</v>
      </c>
      <c r="K336" s="2" t="str" cm="1">
        <f t="array" ref="K336">_xlfn.IFS(Table1[[#This Row],[Exercise_Frequency(week)]]&lt;3, "Beginners (0–2 days)", Table1[[#This Row],[Exercise_Frequency(week)]]&lt;5, "Intermediate (3–4 days)", Table1[[#This Row],[Exercise_Frequency(week)]]&lt;8, "Advanced (5–7 days)")</f>
        <v>Advanced (5–7 days)</v>
      </c>
      <c r="L336" t="s">
        <v>14</v>
      </c>
      <c r="M336" s="2">
        <v>10</v>
      </c>
    </row>
    <row r="337" spans="1:13" x14ac:dyDescent="0.5">
      <c r="A337" t="s">
        <v>280</v>
      </c>
      <c r="B337" s="2">
        <v>23</v>
      </c>
      <c r="C337" s="2" t="str" cm="1">
        <f t="array" ref="C337">_xlfn.IFS(B337&lt;25, "Youth (16–24)", B337&lt;35, "Young Adults (25–34)", B337&lt;45, "Adults (35–44)", B337&lt;55, "Middle-aged (45–54)")</f>
        <v>Youth (16–24)</v>
      </c>
      <c r="D337" t="s">
        <v>11</v>
      </c>
      <c r="E337" s="1">
        <v>2.5</v>
      </c>
      <c r="F337" s="1" t="str" cm="1">
        <f t="array" ref="F337">_xlfn.IFS(E337&lt;3, "Low (0–3 hrs)", E337&lt;6, "Moderate (3–6 hrs)", E337&lt;8, "High (6–8 hrs)", E337&gt;=8, "Very High (8+ hrs)")</f>
        <v>Low (0–3 hrs)</v>
      </c>
      <c r="G337" s="2">
        <v>9</v>
      </c>
      <c r="H337" s="2">
        <v>5</v>
      </c>
      <c r="I337" s="2">
        <v>7</v>
      </c>
      <c r="J337" s="2">
        <v>5</v>
      </c>
      <c r="K337" s="2" t="str" cm="1">
        <f t="array" ref="K337">_xlfn.IFS(Table1[[#This Row],[Exercise_Frequency(week)]]&lt;3, "Beginners (0–2 days)", Table1[[#This Row],[Exercise_Frequency(week)]]&lt;5, "Intermediate (3–4 days)", Table1[[#This Row],[Exercise_Frequency(week)]]&lt;8, "Advanced (5–7 days)")</f>
        <v>Advanced (5–7 days)</v>
      </c>
      <c r="L337" t="s">
        <v>19</v>
      </c>
      <c r="M337" s="2">
        <v>10</v>
      </c>
    </row>
    <row r="338" spans="1:13" x14ac:dyDescent="0.5">
      <c r="A338" t="s">
        <v>282</v>
      </c>
      <c r="B338" s="2">
        <v>29</v>
      </c>
      <c r="C338" s="2" t="str" cm="1">
        <f t="array" ref="C338">_xlfn.IFS(B338&lt;25, "Youth (16–24)", B338&lt;35, "Young Adults (25–34)", B338&lt;45, "Adults (35–44)", B338&lt;55, "Middle-aged (45–54)")</f>
        <v>Young Adults (25–34)</v>
      </c>
      <c r="D338" t="s">
        <v>16</v>
      </c>
      <c r="E338" s="1">
        <v>5.2</v>
      </c>
      <c r="F338" s="1" t="str" cm="1">
        <f t="array" ref="F338">_xlfn.IFS(E338&lt;3, "Low (0–3 hrs)", E338&lt;6, "Moderate (3–6 hrs)", E338&lt;8, "High (6–8 hrs)", E338&gt;=8, "Very High (8+ hrs)")</f>
        <v>Moderate (3–6 hrs)</v>
      </c>
      <c r="G338" s="2">
        <v>7</v>
      </c>
      <c r="H338" s="2">
        <v>6</v>
      </c>
      <c r="I338" s="2">
        <v>1</v>
      </c>
      <c r="J338" s="2">
        <v>5</v>
      </c>
      <c r="K338" s="2" t="str" cm="1">
        <f t="array" ref="K338">_xlfn.IFS(Table1[[#This Row],[Exercise_Frequency(week)]]&lt;3, "Beginners (0–2 days)", Table1[[#This Row],[Exercise_Frequency(week)]]&lt;5, "Intermediate (3–4 days)", Table1[[#This Row],[Exercise_Frequency(week)]]&lt;8, "Advanced (5–7 days)")</f>
        <v>Advanced (5–7 days)</v>
      </c>
      <c r="L338" t="s">
        <v>14</v>
      </c>
      <c r="M338" s="2">
        <v>10</v>
      </c>
    </row>
    <row r="339" spans="1:13" x14ac:dyDescent="0.5">
      <c r="A339" t="s">
        <v>284</v>
      </c>
      <c r="B339" s="2">
        <v>38</v>
      </c>
      <c r="C339" s="2" t="str" cm="1">
        <f t="array" ref="C339">_xlfn.IFS(B339&lt;25, "Youth (16–24)", B339&lt;35, "Young Adults (25–34)", B339&lt;45, "Adults (35–44)", B339&lt;55, "Middle-aged (45–54)")</f>
        <v>Adults (35–44)</v>
      </c>
      <c r="D339" t="s">
        <v>16</v>
      </c>
      <c r="E339" s="1">
        <v>1.5</v>
      </c>
      <c r="F339" s="1" t="str" cm="1">
        <f t="array" ref="F339">_xlfn.IFS(E339&lt;3, "Low (0–3 hrs)", E339&lt;6, "Moderate (3–6 hrs)", E339&lt;8, "High (6–8 hrs)", E339&gt;=8, "Very High (8+ hrs)")</f>
        <v>Low (0–3 hrs)</v>
      </c>
      <c r="G339" s="2">
        <v>9</v>
      </c>
      <c r="H339" s="2">
        <v>4</v>
      </c>
      <c r="I339" s="2">
        <v>5</v>
      </c>
      <c r="J339" s="2">
        <v>5</v>
      </c>
      <c r="K339" s="2" t="str" cm="1">
        <f t="array" ref="K339">_xlfn.IFS(Table1[[#This Row],[Exercise_Frequency(week)]]&lt;3, "Beginners (0–2 days)", Table1[[#This Row],[Exercise_Frequency(week)]]&lt;5, "Intermediate (3–4 days)", Table1[[#This Row],[Exercise_Frequency(week)]]&lt;8, "Advanced (5–7 days)")</f>
        <v>Advanced (5–7 days)</v>
      </c>
      <c r="L339" t="s">
        <v>13</v>
      </c>
      <c r="M339" s="2">
        <v>10</v>
      </c>
    </row>
    <row r="340" spans="1:13" x14ac:dyDescent="0.5">
      <c r="A340" t="s">
        <v>301</v>
      </c>
      <c r="B340" s="2">
        <v>47</v>
      </c>
      <c r="C340" s="2" t="str" cm="1">
        <f t="array" ref="C340">_xlfn.IFS(B340&lt;25, "Youth (16–24)", B340&lt;35, "Young Adults (25–34)", B340&lt;45, "Adults (35–44)", B340&lt;55, "Middle-aged (45–54)")</f>
        <v>Middle-aged (45–54)</v>
      </c>
      <c r="D340" t="s">
        <v>16</v>
      </c>
      <c r="E340" s="1">
        <v>4</v>
      </c>
      <c r="F340" s="1" t="str" cm="1">
        <f t="array" ref="F340">_xlfn.IFS(E340&lt;3, "Low (0–3 hrs)", E340&lt;6, "Moderate (3–6 hrs)", E340&lt;8, "High (6–8 hrs)", E340&gt;=8, "Very High (8+ hrs)")</f>
        <v>Moderate (3–6 hrs)</v>
      </c>
      <c r="G340" s="2">
        <v>8</v>
      </c>
      <c r="H340" s="2">
        <v>4</v>
      </c>
      <c r="I340" s="2">
        <v>3</v>
      </c>
      <c r="J340" s="2">
        <v>5</v>
      </c>
      <c r="K340" s="2" t="str" cm="1">
        <f t="array" ref="K340">_xlfn.IFS(Table1[[#This Row],[Exercise_Frequency(week)]]&lt;3, "Beginners (0–2 days)", Table1[[#This Row],[Exercise_Frequency(week)]]&lt;5, "Intermediate (3–4 days)", Table1[[#This Row],[Exercise_Frequency(week)]]&lt;8, "Advanced (5–7 days)")</f>
        <v>Advanced (5–7 days)</v>
      </c>
      <c r="L340" t="s">
        <v>12</v>
      </c>
      <c r="M340" s="2">
        <v>10</v>
      </c>
    </row>
    <row r="341" spans="1:13" x14ac:dyDescent="0.5">
      <c r="A341" t="s">
        <v>407</v>
      </c>
      <c r="B341" s="2">
        <v>34</v>
      </c>
      <c r="C341" s="2" t="str" cm="1">
        <f t="array" ref="C341">_xlfn.IFS(B341&lt;25, "Youth (16–24)", B341&lt;35, "Young Adults (25–34)", B341&lt;45, "Adults (35–44)", B341&lt;55, "Middle-aged (45–54)")</f>
        <v>Young Adults (25–34)</v>
      </c>
      <c r="D341" t="s">
        <v>11</v>
      </c>
      <c r="E341" s="1">
        <v>3.8</v>
      </c>
      <c r="F341" s="1" t="str" cm="1">
        <f t="array" ref="F341">_xlfn.IFS(E341&lt;3, "Low (0–3 hrs)", E341&lt;6, "Moderate (3–6 hrs)", E341&lt;8, "High (6–8 hrs)", E341&gt;=8, "Very High (8+ hrs)")</f>
        <v>Moderate (3–6 hrs)</v>
      </c>
      <c r="G341" s="2">
        <v>7</v>
      </c>
      <c r="H341" s="2">
        <v>6</v>
      </c>
      <c r="I341" s="2">
        <v>7</v>
      </c>
      <c r="J341" s="2">
        <v>5</v>
      </c>
      <c r="K341" s="2" t="str" cm="1">
        <f t="array" ref="K341">_xlfn.IFS(Table1[[#This Row],[Exercise_Frequency(week)]]&lt;3, "Beginners (0–2 days)", Table1[[#This Row],[Exercise_Frequency(week)]]&lt;5, "Intermediate (3–4 days)", Table1[[#This Row],[Exercise_Frequency(week)]]&lt;8, "Advanced (5–7 days)")</f>
        <v>Advanced (5–7 days)</v>
      </c>
      <c r="L341" t="s">
        <v>17</v>
      </c>
      <c r="M341" s="2">
        <v>10</v>
      </c>
    </row>
    <row r="342" spans="1:13" x14ac:dyDescent="0.5">
      <c r="A342" t="s">
        <v>419</v>
      </c>
      <c r="B342" s="2">
        <v>38</v>
      </c>
      <c r="C342" s="2" t="str" cm="1">
        <f t="array" ref="C342">_xlfn.IFS(B342&lt;25, "Youth (16–24)", B342&lt;35, "Young Adults (25–34)", B342&lt;45, "Adults (35–44)", B342&lt;55, "Middle-aged (45–54)")</f>
        <v>Adults (35–44)</v>
      </c>
      <c r="D342" t="s">
        <v>16</v>
      </c>
      <c r="E342" s="1">
        <v>6.2</v>
      </c>
      <c r="F342" s="1" t="str" cm="1">
        <f t="array" ref="F342">_xlfn.IFS(E342&lt;3, "Low (0–3 hrs)", E342&lt;6, "Moderate (3–6 hrs)", E342&lt;8, "High (6–8 hrs)", E342&gt;=8, "Very High (8+ hrs)")</f>
        <v>High (6–8 hrs)</v>
      </c>
      <c r="G342" s="2">
        <v>7</v>
      </c>
      <c r="H342" s="2">
        <v>6</v>
      </c>
      <c r="I342" s="2">
        <v>6</v>
      </c>
      <c r="J342" s="2">
        <v>5</v>
      </c>
      <c r="K342" s="2" t="str" cm="1">
        <f t="array" ref="K342">_xlfn.IFS(Table1[[#This Row],[Exercise_Frequency(week)]]&lt;3, "Beginners (0–2 days)", Table1[[#This Row],[Exercise_Frequency(week)]]&lt;5, "Intermediate (3–4 days)", Table1[[#This Row],[Exercise_Frequency(week)]]&lt;8, "Advanced (5–7 days)")</f>
        <v>Advanced (5–7 days)</v>
      </c>
      <c r="L342" t="s">
        <v>13</v>
      </c>
      <c r="M342" s="2">
        <v>10</v>
      </c>
    </row>
    <row r="343" spans="1:13" x14ac:dyDescent="0.5">
      <c r="A343" t="s">
        <v>446</v>
      </c>
      <c r="B343" s="2">
        <v>21</v>
      </c>
      <c r="C343" s="2" t="str" cm="1">
        <f t="array" ref="C343">_xlfn.IFS(B343&lt;25, "Youth (16–24)", B343&lt;35, "Young Adults (25–34)", B343&lt;45, "Adults (35–44)", B343&lt;55, "Middle-aged (45–54)")</f>
        <v>Youth (16–24)</v>
      </c>
      <c r="D343" t="s">
        <v>16</v>
      </c>
      <c r="E343" s="1">
        <v>2.5</v>
      </c>
      <c r="F343" s="1" t="str" cm="1">
        <f t="array" ref="F343">_xlfn.IFS(E343&lt;3, "Low (0–3 hrs)", E343&lt;6, "Moderate (3–6 hrs)", E343&lt;8, "High (6–8 hrs)", E343&gt;=8, "Very High (8+ hrs)")</f>
        <v>Low (0–3 hrs)</v>
      </c>
      <c r="G343" s="2">
        <v>9</v>
      </c>
      <c r="H343" s="2">
        <v>3</v>
      </c>
      <c r="I343" s="2">
        <v>2</v>
      </c>
      <c r="J343" s="2">
        <v>5</v>
      </c>
      <c r="K343" s="2" t="str" cm="1">
        <f t="array" ref="K343">_xlfn.IFS(Table1[[#This Row],[Exercise_Frequency(week)]]&lt;3, "Beginners (0–2 days)", Table1[[#This Row],[Exercise_Frequency(week)]]&lt;5, "Intermediate (3–4 days)", Table1[[#This Row],[Exercise_Frequency(week)]]&lt;8, "Advanced (5–7 days)")</f>
        <v>Advanced (5–7 days)</v>
      </c>
      <c r="L343" t="s">
        <v>17</v>
      </c>
      <c r="M343" s="2">
        <v>10</v>
      </c>
    </row>
    <row r="344" spans="1:13" x14ac:dyDescent="0.5">
      <c r="A344" t="s">
        <v>457</v>
      </c>
      <c r="B344" s="2">
        <v>43</v>
      </c>
      <c r="C344" s="2" t="str" cm="1">
        <f t="array" ref="C344">_xlfn.IFS(B344&lt;25, "Youth (16–24)", B344&lt;35, "Young Adults (25–34)", B344&lt;45, "Adults (35–44)", B344&lt;55, "Middle-aged (45–54)")</f>
        <v>Adults (35–44)</v>
      </c>
      <c r="D344" t="s">
        <v>16</v>
      </c>
      <c r="E344" s="1">
        <v>2.6</v>
      </c>
      <c r="F344" s="1" t="str" cm="1">
        <f t="array" ref="F344">_xlfn.IFS(E344&lt;3, "Low (0–3 hrs)", E344&lt;6, "Moderate (3–6 hrs)", E344&lt;8, "High (6–8 hrs)", E344&gt;=8, "Very High (8+ hrs)")</f>
        <v>Low (0–3 hrs)</v>
      </c>
      <c r="G344" s="2">
        <v>9</v>
      </c>
      <c r="H344" s="2">
        <v>5</v>
      </c>
      <c r="I344" s="2">
        <v>4</v>
      </c>
      <c r="J344" s="2">
        <v>5</v>
      </c>
      <c r="K344" s="2" t="str" cm="1">
        <f t="array" ref="K344">_xlfn.IFS(Table1[[#This Row],[Exercise_Frequency(week)]]&lt;3, "Beginners (0–2 days)", Table1[[#This Row],[Exercise_Frequency(week)]]&lt;5, "Intermediate (3–4 days)", Table1[[#This Row],[Exercise_Frequency(week)]]&lt;8, "Advanced (5–7 days)")</f>
        <v>Advanced (5–7 days)</v>
      </c>
      <c r="L344" t="s">
        <v>23</v>
      </c>
      <c r="M344" s="2">
        <v>10</v>
      </c>
    </row>
    <row r="345" spans="1:13" x14ac:dyDescent="0.5">
      <c r="A345" t="s">
        <v>468</v>
      </c>
      <c r="B345" s="2">
        <v>31</v>
      </c>
      <c r="C345" s="2" t="str" cm="1">
        <f t="array" ref="C345">_xlfn.IFS(B345&lt;25, "Youth (16–24)", B345&lt;35, "Young Adults (25–34)", B345&lt;45, "Adults (35–44)", B345&lt;55, "Middle-aged (45–54)")</f>
        <v>Young Adults (25–34)</v>
      </c>
      <c r="D345" t="s">
        <v>16</v>
      </c>
      <c r="E345" s="1">
        <v>5.7</v>
      </c>
      <c r="F345" s="1" t="str" cm="1">
        <f t="array" ref="F345">_xlfn.IFS(E345&lt;3, "Low (0–3 hrs)", E345&lt;6, "Moderate (3–6 hrs)", E345&lt;8, "High (6–8 hrs)", E345&gt;=8, "Very High (8+ hrs)")</f>
        <v>Moderate (3–6 hrs)</v>
      </c>
      <c r="G345" s="2">
        <v>7</v>
      </c>
      <c r="H345" s="2">
        <v>5</v>
      </c>
      <c r="I345" s="2">
        <v>3</v>
      </c>
      <c r="J345" s="2">
        <v>5</v>
      </c>
      <c r="K345" s="2" t="str" cm="1">
        <f t="array" ref="K345">_xlfn.IFS(Table1[[#This Row],[Exercise_Frequency(week)]]&lt;3, "Beginners (0–2 days)", Table1[[#This Row],[Exercise_Frequency(week)]]&lt;5, "Intermediate (3–4 days)", Table1[[#This Row],[Exercise_Frequency(week)]]&lt;8, "Advanced (5–7 days)")</f>
        <v>Advanced (5–7 days)</v>
      </c>
      <c r="L345" t="s">
        <v>23</v>
      </c>
      <c r="M345" s="2">
        <v>10</v>
      </c>
    </row>
    <row r="346" spans="1:13" x14ac:dyDescent="0.5">
      <c r="A346" t="s">
        <v>32</v>
      </c>
      <c r="B346" s="2">
        <v>48</v>
      </c>
      <c r="C346" s="2" t="str" cm="1">
        <f t="array" ref="C346">_xlfn.IFS(B346&lt;25, "Youth (16–24)", B346&lt;35, "Young Adults (25–34)", B346&lt;45, "Adults (35–44)", B346&lt;55, "Middle-aged (45–54)")</f>
        <v>Middle-aged (45–54)</v>
      </c>
      <c r="D346" t="s">
        <v>11</v>
      </c>
      <c r="E346" s="1">
        <v>5.4</v>
      </c>
      <c r="F346" s="1" t="str" cm="1">
        <f t="array" ref="F346">_xlfn.IFS(E346&lt;3, "Low (0–3 hrs)", E346&lt;6, "Moderate (3–6 hrs)", E346&lt;8, "High (6–8 hrs)", E346&gt;=8, "Very High (8+ hrs)")</f>
        <v>Moderate (3–6 hrs)</v>
      </c>
      <c r="G346" s="2">
        <v>6</v>
      </c>
      <c r="H346" s="2">
        <v>4</v>
      </c>
      <c r="I346" s="2">
        <v>3</v>
      </c>
      <c r="J346" s="2">
        <v>4</v>
      </c>
      <c r="K346" s="2" t="str" cm="1">
        <f t="array" ref="K346">_xlfn.IFS(Table1[[#This Row],[Exercise_Frequency(week)]]&lt;3, "Beginners (0–2 days)", Table1[[#This Row],[Exercise_Frequency(week)]]&lt;5, "Intermediate (3–4 days)", Table1[[#This Row],[Exercise_Frequency(week)]]&lt;8, "Advanced (5–7 days)")</f>
        <v>Intermediate (3–4 days)</v>
      </c>
      <c r="L346" t="s">
        <v>17</v>
      </c>
      <c r="M346" s="2">
        <v>10</v>
      </c>
    </row>
    <row r="347" spans="1:13" x14ac:dyDescent="0.5">
      <c r="A347" t="s">
        <v>34</v>
      </c>
      <c r="B347" s="2">
        <v>37</v>
      </c>
      <c r="C347" s="2" t="str" cm="1">
        <f t="array" ref="C347">_xlfn.IFS(B347&lt;25, "Youth (16–24)", B347&lt;35, "Young Adults (25–34)", B347&lt;45, "Adults (35–44)", B347&lt;55, "Middle-aged (45–54)")</f>
        <v>Adults (35–44)</v>
      </c>
      <c r="D347" t="s">
        <v>11</v>
      </c>
      <c r="E347" s="1">
        <v>7.1</v>
      </c>
      <c r="F347" s="1" t="str" cm="1">
        <f t="array" ref="F347">_xlfn.IFS(E347&lt;3, "Low (0–3 hrs)", E347&lt;6, "Moderate (3–6 hrs)", E347&lt;8, "High (6–8 hrs)", E347&gt;=8, "Very High (8+ hrs)")</f>
        <v>High (6–8 hrs)</v>
      </c>
      <c r="G347" s="2">
        <v>6</v>
      </c>
      <c r="H347" s="2">
        <v>6</v>
      </c>
      <c r="I347" s="2">
        <v>5</v>
      </c>
      <c r="J347" s="2">
        <v>4</v>
      </c>
      <c r="K347" s="2" t="str" cm="1">
        <f t="array" ref="K347">_xlfn.IFS(Table1[[#This Row],[Exercise_Frequency(week)]]&lt;3, "Beginners (0–2 days)", Table1[[#This Row],[Exercise_Frequency(week)]]&lt;5, "Intermediate (3–4 days)", Table1[[#This Row],[Exercise_Frequency(week)]]&lt;8, "Advanced (5–7 days)")</f>
        <v>Intermediate (3–4 days)</v>
      </c>
      <c r="L347" t="s">
        <v>17</v>
      </c>
      <c r="M347" s="2">
        <v>10</v>
      </c>
    </row>
    <row r="348" spans="1:13" x14ac:dyDescent="0.5">
      <c r="A348" t="s">
        <v>35</v>
      </c>
      <c r="B348" s="2">
        <v>40</v>
      </c>
      <c r="C348" s="2" t="str" cm="1">
        <f t="array" ref="C348">_xlfn.IFS(B348&lt;25, "Youth (16–24)", B348&lt;35, "Young Adults (25–34)", B348&lt;45, "Adults (35–44)", B348&lt;55, "Middle-aged (45–54)")</f>
        <v>Adults (35–44)</v>
      </c>
      <c r="D348" t="s">
        <v>16</v>
      </c>
      <c r="E348" s="1">
        <v>3</v>
      </c>
      <c r="F348" s="1" t="str" cm="1">
        <f t="array" ref="F348">_xlfn.IFS(E348&lt;3, "Low (0–3 hrs)", E348&lt;6, "Moderate (3–6 hrs)", E348&lt;8, "High (6–8 hrs)", E348&gt;=8, "Very High (8+ hrs)")</f>
        <v>Moderate (3–6 hrs)</v>
      </c>
      <c r="G348" s="2">
        <v>8</v>
      </c>
      <c r="H348" s="2">
        <v>5</v>
      </c>
      <c r="I348" s="2">
        <v>5</v>
      </c>
      <c r="J348" s="2">
        <v>4</v>
      </c>
      <c r="K348" s="2" t="str" cm="1">
        <f t="array" ref="K348">_xlfn.IFS(Table1[[#This Row],[Exercise_Frequency(week)]]&lt;3, "Beginners (0–2 days)", Table1[[#This Row],[Exercise_Frequency(week)]]&lt;5, "Intermediate (3–4 days)", Table1[[#This Row],[Exercise_Frequency(week)]]&lt;8, "Advanced (5–7 days)")</f>
        <v>Intermediate (3–4 days)</v>
      </c>
      <c r="L348" t="s">
        <v>19</v>
      </c>
      <c r="M348" s="2">
        <v>10</v>
      </c>
    </row>
    <row r="349" spans="1:13" x14ac:dyDescent="0.5">
      <c r="A349" t="s">
        <v>138</v>
      </c>
      <c r="B349" s="2">
        <v>24</v>
      </c>
      <c r="C349" s="2" t="str" cm="1">
        <f t="array" ref="C349">_xlfn.IFS(B349&lt;25, "Youth (16–24)", B349&lt;35, "Young Adults (25–34)", B349&lt;45, "Adults (35–44)", B349&lt;55, "Middle-aged (45–54)")</f>
        <v>Youth (16–24)</v>
      </c>
      <c r="D349" t="s">
        <v>11</v>
      </c>
      <c r="E349" s="1">
        <v>4.8</v>
      </c>
      <c r="F349" s="1" t="str" cm="1">
        <f t="array" ref="F349">_xlfn.IFS(E349&lt;3, "Low (0–3 hrs)", E349&lt;6, "Moderate (3–6 hrs)", E349&lt;8, "High (6–8 hrs)", E349&gt;=8, "Very High (8+ hrs)")</f>
        <v>Moderate (3–6 hrs)</v>
      </c>
      <c r="G349" s="2">
        <v>8</v>
      </c>
      <c r="H349" s="2">
        <v>4</v>
      </c>
      <c r="I349" s="2">
        <v>6</v>
      </c>
      <c r="J349" s="2">
        <v>4</v>
      </c>
      <c r="K349" s="2" t="str" cm="1">
        <f t="array" ref="K349">_xlfn.IFS(Table1[[#This Row],[Exercise_Frequency(week)]]&lt;3, "Beginners (0–2 days)", Table1[[#This Row],[Exercise_Frequency(week)]]&lt;5, "Intermediate (3–4 days)", Table1[[#This Row],[Exercise_Frequency(week)]]&lt;8, "Advanced (5–7 days)")</f>
        <v>Intermediate (3–4 days)</v>
      </c>
      <c r="L349" t="s">
        <v>13</v>
      </c>
      <c r="M349" s="2">
        <v>10</v>
      </c>
    </row>
    <row r="350" spans="1:13" x14ac:dyDescent="0.5">
      <c r="A350" t="s">
        <v>143</v>
      </c>
      <c r="B350" s="2">
        <v>47</v>
      </c>
      <c r="C350" s="2" t="str" cm="1">
        <f t="array" ref="C350">_xlfn.IFS(B350&lt;25, "Youth (16–24)", B350&lt;35, "Young Adults (25–34)", B350&lt;45, "Adults (35–44)", B350&lt;55, "Middle-aged (45–54)")</f>
        <v>Middle-aged (45–54)</v>
      </c>
      <c r="D350" t="s">
        <v>16</v>
      </c>
      <c r="E350" s="1">
        <v>5.8</v>
      </c>
      <c r="F350" s="1" t="str" cm="1">
        <f t="array" ref="F350">_xlfn.IFS(E350&lt;3, "Low (0–3 hrs)", E350&lt;6, "Moderate (3–6 hrs)", E350&lt;8, "High (6–8 hrs)", E350&gt;=8, "Very High (8+ hrs)")</f>
        <v>Moderate (3–6 hrs)</v>
      </c>
      <c r="G350" s="2">
        <v>6</v>
      </c>
      <c r="H350" s="2">
        <v>7</v>
      </c>
      <c r="I350" s="2">
        <v>3</v>
      </c>
      <c r="J350" s="2">
        <v>4</v>
      </c>
      <c r="K350" s="2" t="str" cm="1">
        <f t="array" ref="K350">_xlfn.IFS(Table1[[#This Row],[Exercise_Frequency(week)]]&lt;3, "Beginners (0–2 days)", Table1[[#This Row],[Exercise_Frequency(week)]]&lt;5, "Intermediate (3–4 days)", Table1[[#This Row],[Exercise_Frequency(week)]]&lt;8, "Advanced (5–7 days)")</f>
        <v>Intermediate (3–4 days)</v>
      </c>
      <c r="L350" t="s">
        <v>17</v>
      </c>
      <c r="M350" s="2">
        <v>10</v>
      </c>
    </row>
    <row r="351" spans="1:13" x14ac:dyDescent="0.5">
      <c r="A351" t="s">
        <v>161</v>
      </c>
      <c r="B351" s="2">
        <v>47</v>
      </c>
      <c r="C351" s="2" t="str" cm="1">
        <f t="array" ref="C351">_xlfn.IFS(B351&lt;25, "Youth (16–24)", B351&lt;35, "Young Adults (25–34)", B351&lt;45, "Adults (35–44)", B351&lt;55, "Middle-aged (45–54)")</f>
        <v>Middle-aged (45–54)</v>
      </c>
      <c r="D351" t="s">
        <v>16</v>
      </c>
      <c r="E351" s="1">
        <v>3.3</v>
      </c>
      <c r="F351" s="1" t="str" cm="1">
        <f t="array" ref="F351">_xlfn.IFS(E351&lt;3, "Low (0–3 hrs)", E351&lt;6, "Moderate (3–6 hrs)", E351&lt;8, "High (6–8 hrs)", E351&gt;=8, "Very High (8+ hrs)")</f>
        <v>Moderate (3–6 hrs)</v>
      </c>
      <c r="G351" s="2">
        <v>8</v>
      </c>
      <c r="H351" s="2">
        <v>5</v>
      </c>
      <c r="I351" s="2">
        <v>4</v>
      </c>
      <c r="J351" s="2">
        <v>4</v>
      </c>
      <c r="K351" s="2" t="str" cm="1">
        <f t="array" ref="K351">_xlfn.IFS(Table1[[#This Row],[Exercise_Frequency(week)]]&lt;3, "Beginners (0–2 days)", Table1[[#This Row],[Exercise_Frequency(week)]]&lt;5, "Intermediate (3–4 days)", Table1[[#This Row],[Exercise_Frequency(week)]]&lt;8, "Advanced (5–7 days)")</f>
        <v>Intermediate (3–4 days)</v>
      </c>
      <c r="L351" t="s">
        <v>14</v>
      </c>
      <c r="M351" s="2">
        <v>10</v>
      </c>
    </row>
    <row r="352" spans="1:13" x14ac:dyDescent="0.5">
      <c r="A352" t="s">
        <v>162</v>
      </c>
      <c r="B352" s="2">
        <v>19</v>
      </c>
      <c r="C352" s="2" t="str" cm="1">
        <f t="array" ref="C352">_xlfn.IFS(B352&lt;25, "Youth (16–24)", B352&lt;35, "Young Adults (25–34)", B352&lt;45, "Adults (35–44)", B352&lt;55, "Middle-aged (45–54)")</f>
        <v>Youth (16–24)</v>
      </c>
      <c r="D352" t="s">
        <v>16</v>
      </c>
      <c r="E352" s="1">
        <v>5.2</v>
      </c>
      <c r="F352" s="1" t="str" cm="1">
        <f t="array" ref="F352">_xlfn.IFS(E352&lt;3, "Low (0–3 hrs)", E352&lt;6, "Moderate (3–6 hrs)", E352&lt;8, "High (6–8 hrs)", E352&gt;=8, "Very High (8+ hrs)")</f>
        <v>Moderate (3–6 hrs)</v>
      </c>
      <c r="G352" s="2">
        <v>7</v>
      </c>
      <c r="H352" s="2">
        <v>5</v>
      </c>
      <c r="I352" s="2">
        <v>4</v>
      </c>
      <c r="J352" s="2">
        <v>4</v>
      </c>
      <c r="K352" s="2" t="str" cm="1">
        <f t="array" ref="K352">_xlfn.IFS(Table1[[#This Row],[Exercise_Frequency(week)]]&lt;3, "Beginners (0–2 days)", Table1[[#This Row],[Exercise_Frequency(week)]]&lt;5, "Intermediate (3–4 days)", Table1[[#This Row],[Exercise_Frequency(week)]]&lt;8, "Advanced (5–7 days)")</f>
        <v>Intermediate (3–4 days)</v>
      </c>
      <c r="L352" t="s">
        <v>13</v>
      </c>
      <c r="M352" s="2">
        <v>10</v>
      </c>
    </row>
    <row r="353" spans="1:13" x14ac:dyDescent="0.5">
      <c r="A353" t="s">
        <v>173</v>
      </c>
      <c r="B353" s="2">
        <v>21</v>
      </c>
      <c r="C353" s="2" t="str" cm="1">
        <f t="array" ref="C353">_xlfn.IFS(B353&lt;25, "Youth (16–24)", B353&lt;35, "Young Adults (25–34)", B353&lt;45, "Adults (35–44)", B353&lt;55, "Middle-aged (45–54)")</f>
        <v>Youth (16–24)</v>
      </c>
      <c r="D353" t="s">
        <v>11</v>
      </c>
      <c r="E353" s="1">
        <v>5.0999999999999996</v>
      </c>
      <c r="F353" s="1" t="str" cm="1">
        <f t="array" ref="F353">_xlfn.IFS(E353&lt;3, "Low (0–3 hrs)", E353&lt;6, "Moderate (3–6 hrs)", E353&lt;8, "High (6–8 hrs)", E353&gt;=8, "Very High (8+ hrs)")</f>
        <v>Moderate (3–6 hrs)</v>
      </c>
      <c r="G353" s="2">
        <v>6</v>
      </c>
      <c r="H353" s="2">
        <v>5</v>
      </c>
      <c r="I353" s="2">
        <v>4</v>
      </c>
      <c r="J353" s="2">
        <v>4</v>
      </c>
      <c r="K353" s="2" t="str" cm="1">
        <f t="array" ref="K353">_xlfn.IFS(Table1[[#This Row],[Exercise_Frequency(week)]]&lt;3, "Beginners (0–2 days)", Table1[[#This Row],[Exercise_Frequency(week)]]&lt;5, "Intermediate (3–4 days)", Table1[[#This Row],[Exercise_Frequency(week)]]&lt;8, "Advanced (5–7 days)")</f>
        <v>Intermediate (3–4 days)</v>
      </c>
      <c r="L353" t="s">
        <v>19</v>
      </c>
      <c r="M353" s="2">
        <v>10</v>
      </c>
    </row>
    <row r="354" spans="1:13" x14ac:dyDescent="0.5">
      <c r="A354" t="s">
        <v>193</v>
      </c>
      <c r="B354" s="2">
        <v>31</v>
      </c>
      <c r="C354" s="2" t="str" cm="1">
        <f t="array" ref="C354">_xlfn.IFS(B354&lt;25, "Youth (16–24)", B354&lt;35, "Young Adults (25–34)", B354&lt;45, "Adults (35–44)", B354&lt;55, "Middle-aged (45–54)")</f>
        <v>Young Adults (25–34)</v>
      </c>
      <c r="D354" t="s">
        <v>16</v>
      </c>
      <c r="E354" s="1">
        <v>4.0999999999999996</v>
      </c>
      <c r="F354" s="1" t="str" cm="1">
        <f t="array" ref="F354">_xlfn.IFS(E354&lt;3, "Low (0–3 hrs)", E354&lt;6, "Moderate (3–6 hrs)", E354&lt;8, "High (6–8 hrs)", E354&gt;=8, "Very High (8+ hrs)")</f>
        <v>Moderate (3–6 hrs)</v>
      </c>
      <c r="G354" s="2">
        <v>8</v>
      </c>
      <c r="H354" s="2">
        <v>6</v>
      </c>
      <c r="I354" s="2">
        <v>0</v>
      </c>
      <c r="J354" s="2">
        <v>4</v>
      </c>
      <c r="K354" s="2" t="str" cm="1">
        <f t="array" ref="K354">_xlfn.IFS(Table1[[#This Row],[Exercise_Frequency(week)]]&lt;3, "Beginners (0–2 days)", Table1[[#This Row],[Exercise_Frequency(week)]]&lt;5, "Intermediate (3–4 days)", Table1[[#This Row],[Exercise_Frequency(week)]]&lt;8, "Advanced (5–7 days)")</f>
        <v>Intermediate (3–4 days)</v>
      </c>
      <c r="L354" t="s">
        <v>19</v>
      </c>
      <c r="M354" s="2">
        <v>10</v>
      </c>
    </row>
    <row r="355" spans="1:13" x14ac:dyDescent="0.5">
      <c r="A355" t="s">
        <v>221</v>
      </c>
      <c r="B355" s="2">
        <v>36</v>
      </c>
      <c r="C355" s="2" t="str" cm="1">
        <f t="array" ref="C355">_xlfn.IFS(B355&lt;25, "Youth (16–24)", B355&lt;35, "Young Adults (25–34)", B355&lt;45, "Adults (35–44)", B355&lt;55, "Middle-aged (45–54)")</f>
        <v>Adults (35–44)</v>
      </c>
      <c r="D355" t="s">
        <v>16</v>
      </c>
      <c r="E355" s="1">
        <v>5</v>
      </c>
      <c r="F355" s="1" t="str" cm="1">
        <f t="array" ref="F355">_xlfn.IFS(E355&lt;3, "Low (0–3 hrs)", E355&lt;6, "Moderate (3–6 hrs)", E355&lt;8, "High (6–8 hrs)", E355&gt;=8, "Very High (8+ hrs)")</f>
        <v>Moderate (3–6 hrs)</v>
      </c>
      <c r="G355" s="2">
        <v>8</v>
      </c>
      <c r="H355" s="2">
        <v>6</v>
      </c>
      <c r="I355" s="2">
        <v>4</v>
      </c>
      <c r="J355" s="2">
        <v>4</v>
      </c>
      <c r="K355" s="2" t="str" cm="1">
        <f t="array" ref="K355">_xlfn.IFS(Table1[[#This Row],[Exercise_Frequency(week)]]&lt;3, "Beginners (0–2 days)", Table1[[#This Row],[Exercise_Frequency(week)]]&lt;5, "Intermediate (3–4 days)", Table1[[#This Row],[Exercise_Frequency(week)]]&lt;8, "Advanced (5–7 days)")</f>
        <v>Intermediate (3–4 days)</v>
      </c>
      <c r="L355" t="s">
        <v>13</v>
      </c>
      <c r="M355" s="2">
        <v>10</v>
      </c>
    </row>
    <row r="356" spans="1:13" x14ac:dyDescent="0.5">
      <c r="A356" t="s">
        <v>264</v>
      </c>
      <c r="B356" s="2">
        <v>38</v>
      </c>
      <c r="C356" s="2" t="str" cm="1">
        <f t="array" ref="C356">_xlfn.IFS(B356&lt;25, "Youth (16–24)", B356&lt;35, "Young Adults (25–34)", B356&lt;45, "Adults (35–44)", B356&lt;55, "Middle-aged (45–54)")</f>
        <v>Adults (35–44)</v>
      </c>
      <c r="D356" t="s">
        <v>16</v>
      </c>
      <c r="E356" s="1">
        <v>2.7</v>
      </c>
      <c r="F356" s="1" t="str" cm="1">
        <f t="array" ref="F356">_xlfn.IFS(E356&lt;3, "Low (0–3 hrs)", E356&lt;6, "Moderate (3–6 hrs)", E356&lt;8, "High (6–8 hrs)", E356&gt;=8, "Very High (8+ hrs)")</f>
        <v>Low (0–3 hrs)</v>
      </c>
      <c r="G356" s="2">
        <v>6</v>
      </c>
      <c r="H356" s="2">
        <v>3</v>
      </c>
      <c r="I356" s="2">
        <v>4</v>
      </c>
      <c r="J356" s="2">
        <v>4</v>
      </c>
      <c r="K356" s="2" t="str" cm="1">
        <f t="array" ref="K356">_xlfn.IFS(Table1[[#This Row],[Exercise_Frequency(week)]]&lt;3, "Beginners (0–2 days)", Table1[[#This Row],[Exercise_Frequency(week)]]&lt;5, "Intermediate (3–4 days)", Table1[[#This Row],[Exercise_Frequency(week)]]&lt;8, "Advanced (5–7 days)")</f>
        <v>Intermediate (3–4 days)</v>
      </c>
      <c r="L356" t="s">
        <v>14</v>
      </c>
      <c r="M356" s="2">
        <v>10</v>
      </c>
    </row>
    <row r="357" spans="1:13" x14ac:dyDescent="0.5">
      <c r="A357" t="s">
        <v>273</v>
      </c>
      <c r="B357" s="2">
        <v>41</v>
      </c>
      <c r="C357" s="2" t="str" cm="1">
        <f t="array" ref="C357">_xlfn.IFS(B357&lt;25, "Youth (16–24)", B357&lt;35, "Young Adults (25–34)", B357&lt;45, "Adults (35–44)", B357&lt;55, "Middle-aged (45–54)")</f>
        <v>Adults (35–44)</v>
      </c>
      <c r="D357" t="s">
        <v>11</v>
      </c>
      <c r="E357" s="1">
        <v>3.2</v>
      </c>
      <c r="F357" s="1" t="str" cm="1">
        <f t="array" ref="F357">_xlfn.IFS(E357&lt;3, "Low (0–3 hrs)", E357&lt;6, "Moderate (3–6 hrs)", E357&lt;8, "High (6–8 hrs)", E357&gt;=8, "Very High (8+ hrs)")</f>
        <v>Moderate (3–6 hrs)</v>
      </c>
      <c r="G357" s="2">
        <v>8</v>
      </c>
      <c r="H357" s="2">
        <v>6</v>
      </c>
      <c r="I357" s="2">
        <v>0</v>
      </c>
      <c r="J357" s="2">
        <v>4</v>
      </c>
      <c r="K357" s="2" t="str" cm="1">
        <f t="array" ref="K357">_xlfn.IFS(Table1[[#This Row],[Exercise_Frequency(week)]]&lt;3, "Beginners (0–2 days)", Table1[[#This Row],[Exercise_Frequency(week)]]&lt;5, "Intermediate (3–4 days)", Table1[[#This Row],[Exercise_Frequency(week)]]&lt;8, "Advanced (5–7 days)")</f>
        <v>Intermediate (3–4 days)</v>
      </c>
      <c r="L357" t="s">
        <v>19</v>
      </c>
      <c r="M357" s="2">
        <v>10</v>
      </c>
    </row>
    <row r="358" spans="1:13" x14ac:dyDescent="0.5">
      <c r="A358" t="s">
        <v>315</v>
      </c>
      <c r="B358" s="2">
        <v>16</v>
      </c>
      <c r="C358" s="2" t="str" cm="1">
        <f t="array" ref="C358">_xlfn.IFS(B358&lt;25, "Youth (16–24)", B358&lt;35, "Young Adults (25–34)", B358&lt;45, "Adults (35–44)", B358&lt;55, "Middle-aged (45–54)")</f>
        <v>Youth (16–24)</v>
      </c>
      <c r="D358" t="s">
        <v>11</v>
      </c>
      <c r="E358" s="1">
        <v>3.6</v>
      </c>
      <c r="F358" s="1" t="str" cm="1">
        <f t="array" ref="F358">_xlfn.IFS(E358&lt;3, "Low (0–3 hrs)", E358&lt;6, "Moderate (3–6 hrs)", E358&lt;8, "High (6–8 hrs)", E358&gt;=8, "Very High (8+ hrs)")</f>
        <v>Moderate (3–6 hrs)</v>
      </c>
      <c r="G358" s="2">
        <v>7</v>
      </c>
      <c r="H358" s="2">
        <v>5</v>
      </c>
      <c r="I358" s="2">
        <v>5</v>
      </c>
      <c r="J358" s="2">
        <v>4</v>
      </c>
      <c r="K358" s="2" t="str" cm="1">
        <f t="array" ref="K358">_xlfn.IFS(Table1[[#This Row],[Exercise_Frequency(week)]]&lt;3, "Beginners (0–2 days)", Table1[[#This Row],[Exercise_Frequency(week)]]&lt;5, "Intermediate (3–4 days)", Table1[[#This Row],[Exercise_Frequency(week)]]&lt;8, "Advanced (5–7 days)")</f>
        <v>Intermediate (3–4 days)</v>
      </c>
      <c r="L358" t="s">
        <v>17</v>
      </c>
      <c r="M358" s="2">
        <v>10</v>
      </c>
    </row>
    <row r="359" spans="1:13" x14ac:dyDescent="0.5">
      <c r="A359" t="s">
        <v>335</v>
      </c>
      <c r="B359" s="2">
        <v>27</v>
      </c>
      <c r="C359" s="2" t="str" cm="1">
        <f t="array" ref="C359">_xlfn.IFS(B359&lt;25, "Youth (16–24)", B359&lt;35, "Young Adults (25–34)", B359&lt;45, "Adults (35–44)", B359&lt;55, "Middle-aged (45–54)")</f>
        <v>Young Adults (25–34)</v>
      </c>
      <c r="D359" t="s">
        <v>11</v>
      </c>
      <c r="E359" s="1">
        <v>3.8</v>
      </c>
      <c r="F359" s="1" t="str" cm="1">
        <f t="array" ref="F359">_xlfn.IFS(E359&lt;3, "Low (0–3 hrs)", E359&lt;6, "Moderate (3–6 hrs)", E359&lt;8, "High (6–8 hrs)", E359&gt;=8, "Very High (8+ hrs)")</f>
        <v>Moderate (3–6 hrs)</v>
      </c>
      <c r="G359" s="2">
        <v>8</v>
      </c>
      <c r="H359" s="2">
        <v>6</v>
      </c>
      <c r="I359" s="2">
        <v>6</v>
      </c>
      <c r="J359" s="2">
        <v>4</v>
      </c>
      <c r="K359" s="2" t="str" cm="1">
        <f t="array" ref="K359">_xlfn.IFS(Table1[[#This Row],[Exercise_Frequency(week)]]&lt;3, "Beginners (0–2 days)", Table1[[#This Row],[Exercise_Frequency(week)]]&lt;5, "Intermediate (3–4 days)", Table1[[#This Row],[Exercise_Frequency(week)]]&lt;8, "Advanced (5–7 days)")</f>
        <v>Intermediate (3–4 days)</v>
      </c>
      <c r="L359" t="s">
        <v>12</v>
      </c>
      <c r="M359" s="2">
        <v>10</v>
      </c>
    </row>
    <row r="360" spans="1:13" x14ac:dyDescent="0.5">
      <c r="A360" t="s">
        <v>347</v>
      </c>
      <c r="B360" s="2">
        <v>34</v>
      </c>
      <c r="C360" s="2" t="str" cm="1">
        <f t="array" ref="C360">_xlfn.IFS(B360&lt;25, "Youth (16–24)", B360&lt;35, "Young Adults (25–34)", B360&lt;45, "Adults (35–44)", B360&lt;55, "Middle-aged (45–54)")</f>
        <v>Young Adults (25–34)</v>
      </c>
      <c r="D360" t="s">
        <v>11</v>
      </c>
      <c r="E360" s="1">
        <v>4.0999999999999996</v>
      </c>
      <c r="F360" s="1" t="str" cm="1">
        <f t="array" ref="F360">_xlfn.IFS(E360&lt;3, "Low (0–3 hrs)", E360&lt;6, "Moderate (3–6 hrs)", E360&lt;8, "High (6–8 hrs)", E360&gt;=8, "Very High (8+ hrs)")</f>
        <v>Moderate (3–6 hrs)</v>
      </c>
      <c r="G360" s="2">
        <v>8</v>
      </c>
      <c r="H360" s="2">
        <v>4</v>
      </c>
      <c r="I360" s="2">
        <v>5</v>
      </c>
      <c r="J360" s="2">
        <v>4</v>
      </c>
      <c r="K360" s="2" t="str" cm="1">
        <f t="array" ref="K360">_xlfn.IFS(Table1[[#This Row],[Exercise_Frequency(week)]]&lt;3, "Beginners (0–2 days)", Table1[[#This Row],[Exercise_Frequency(week)]]&lt;5, "Intermediate (3–4 days)", Table1[[#This Row],[Exercise_Frequency(week)]]&lt;8, "Advanced (5–7 days)")</f>
        <v>Intermediate (3–4 days)</v>
      </c>
      <c r="L360" t="s">
        <v>13</v>
      </c>
      <c r="M360" s="2">
        <v>10</v>
      </c>
    </row>
    <row r="361" spans="1:13" x14ac:dyDescent="0.5">
      <c r="A361" t="s">
        <v>354</v>
      </c>
      <c r="B361" s="2">
        <v>17</v>
      </c>
      <c r="C361" s="2" t="str" cm="1">
        <f t="array" ref="C361">_xlfn.IFS(B361&lt;25, "Youth (16–24)", B361&lt;35, "Young Adults (25–34)", B361&lt;45, "Adults (35–44)", B361&lt;55, "Middle-aged (45–54)")</f>
        <v>Youth (16–24)</v>
      </c>
      <c r="D361" t="s">
        <v>16</v>
      </c>
      <c r="E361" s="1">
        <v>2.5</v>
      </c>
      <c r="F361" s="1" t="str" cm="1">
        <f t="array" ref="F361">_xlfn.IFS(E361&lt;3, "Low (0–3 hrs)", E361&lt;6, "Moderate (3–6 hrs)", E361&lt;8, "High (6–8 hrs)", E361&gt;=8, "Very High (8+ hrs)")</f>
        <v>Low (0–3 hrs)</v>
      </c>
      <c r="G361" s="2">
        <v>9</v>
      </c>
      <c r="H361" s="2">
        <v>4</v>
      </c>
      <c r="I361" s="2">
        <v>5</v>
      </c>
      <c r="J361" s="2">
        <v>4</v>
      </c>
      <c r="K361" s="2" t="str" cm="1">
        <f t="array" ref="K361">_xlfn.IFS(Table1[[#This Row],[Exercise_Frequency(week)]]&lt;3, "Beginners (0–2 days)", Table1[[#This Row],[Exercise_Frequency(week)]]&lt;5, "Intermediate (3–4 days)", Table1[[#This Row],[Exercise_Frequency(week)]]&lt;8, "Advanced (5–7 days)")</f>
        <v>Intermediate (3–4 days)</v>
      </c>
      <c r="L361" t="s">
        <v>14</v>
      </c>
      <c r="M361" s="2">
        <v>10</v>
      </c>
    </row>
    <row r="362" spans="1:13" x14ac:dyDescent="0.5">
      <c r="A362" t="s">
        <v>365</v>
      </c>
      <c r="B362" s="2">
        <v>16</v>
      </c>
      <c r="C362" s="2" t="str" cm="1">
        <f t="array" ref="C362">_xlfn.IFS(B362&lt;25, "Youth (16–24)", B362&lt;35, "Young Adults (25–34)", B362&lt;45, "Adults (35–44)", B362&lt;55, "Middle-aged (45–54)")</f>
        <v>Youth (16–24)</v>
      </c>
      <c r="D362" t="s">
        <v>11</v>
      </c>
      <c r="E362" s="1">
        <v>2.5</v>
      </c>
      <c r="F362" s="1" t="str" cm="1">
        <f t="array" ref="F362">_xlfn.IFS(E362&lt;3, "Low (0–3 hrs)", E362&lt;6, "Moderate (3–6 hrs)", E362&lt;8, "High (6–8 hrs)", E362&gt;=8, "Very High (8+ hrs)")</f>
        <v>Low (0–3 hrs)</v>
      </c>
      <c r="G362" s="2">
        <v>8</v>
      </c>
      <c r="H362" s="2">
        <v>4</v>
      </c>
      <c r="I362" s="2">
        <v>4</v>
      </c>
      <c r="J362" s="2">
        <v>4</v>
      </c>
      <c r="K362" s="2" t="str" cm="1">
        <f t="array" ref="K362">_xlfn.IFS(Table1[[#This Row],[Exercise_Frequency(week)]]&lt;3, "Beginners (0–2 days)", Table1[[#This Row],[Exercise_Frequency(week)]]&lt;5, "Intermediate (3–4 days)", Table1[[#This Row],[Exercise_Frequency(week)]]&lt;8, "Advanced (5–7 days)")</f>
        <v>Intermediate (3–4 days)</v>
      </c>
      <c r="L362" t="s">
        <v>14</v>
      </c>
      <c r="M362" s="2">
        <v>10</v>
      </c>
    </row>
    <row r="363" spans="1:13" x14ac:dyDescent="0.5">
      <c r="A363" t="s">
        <v>381</v>
      </c>
      <c r="B363" s="2">
        <v>22</v>
      </c>
      <c r="C363" s="2" t="str" cm="1">
        <f t="array" ref="C363">_xlfn.IFS(B363&lt;25, "Youth (16–24)", B363&lt;35, "Young Adults (25–34)", B363&lt;45, "Adults (35–44)", B363&lt;55, "Middle-aged (45–54)")</f>
        <v>Youth (16–24)</v>
      </c>
      <c r="D363" t="s">
        <v>16</v>
      </c>
      <c r="E363" s="1">
        <v>3.4</v>
      </c>
      <c r="F363" s="1" t="str" cm="1">
        <f t="array" ref="F363">_xlfn.IFS(E363&lt;3, "Low (0–3 hrs)", E363&lt;6, "Moderate (3–6 hrs)", E363&lt;8, "High (6–8 hrs)", E363&gt;=8, "Very High (8+ hrs)")</f>
        <v>Moderate (3–6 hrs)</v>
      </c>
      <c r="G363" s="2">
        <v>8</v>
      </c>
      <c r="H363" s="2">
        <v>6</v>
      </c>
      <c r="I363" s="2">
        <v>4</v>
      </c>
      <c r="J363" s="2">
        <v>4</v>
      </c>
      <c r="K363" s="2" t="str" cm="1">
        <f t="array" ref="K363">_xlfn.IFS(Table1[[#This Row],[Exercise_Frequency(week)]]&lt;3, "Beginners (0–2 days)", Table1[[#This Row],[Exercise_Frequency(week)]]&lt;5, "Intermediate (3–4 days)", Table1[[#This Row],[Exercise_Frequency(week)]]&lt;8, "Advanced (5–7 days)")</f>
        <v>Intermediate (3–4 days)</v>
      </c>
      <c r="L363" t="s">
        <v>19</v>
      </c>
      <c r="M363" s="2">
        <v>10</v>
      </c>
    </row>
    <row r="364" spans="1:13" x14ac:dyDescent="0.5">
      <c r="A364" t="s">
        <v>384</v>
      </c>
      <c r="B364" s="2">
        <v>44</v>
      </c>
      <c r="C364" s="2" t="str" cm="1">
        <f t="array" ref="C364">_xlfn.IFS(B364&lt;25, "Youth (16–24)", B364&lt;35, "Young Adults (25–34)", B364&lt;45, "Adults (35–44)", B364&lt;55, "Middle-aged (45–54)")</f>
        <v>Adults (35–44)</v>
      </c>
      <c r="D364" t="s">
        <v>16</v>
      </c>
      <c r="E364" s="1">
        <v>2.2000000000000002</v>
      </c>
      <c r="F364" s="1" t="str" cm="1">
        <f t="array" ref="F364">_xlfn.IFS(E364&lt;3, "Low (0–3 hrs)", E364&lt;6, "Moderate (3–6 hrs)", E364&lt;8, "High (6–8 hrs)", E364&gt;=8, "Very High (8+ hrs)")</f>
        <v>Low (0–3 hrs)</v>
      </c>
      <c r="G364" s="2">
        <v>9</v>
      </c>
      <c r="H364" s="2">
        <v>4</v>
      </c>
      <c r="I364" s="2">
        <v>4</v>
      </c>
      <c r="J364" s="2">
        <v>4</v>
      </c>
      <c r="K364" s="2" t="str" cm="1">
        <f t="array" ref="K364">_xlfn.IFS(Table1[[#This Row],[Exercise_Frequency(week)]]&lt;3, "Beginners (0–2 days)", Table1[[#This Row],[Exercise_Frequency(week)]]&lt;5, "Intermediate (3–4 days)", Table1[[#This Row],[Exercise_Frequency(week)]]&lt;8, "Advanced (5–7 days)")</f>
        <v>Intermediate (3–4 days)</v>
      </c>
      <c r="L364" t="s">
        <v>14</v>
      </c>
      <c r="M364" s="2">
        <v>10</v>
      </c>
    </row>
    <row r="365" spans="1:13" x14ac:dyDescent="0.5">
      <c r="A365" t="s">
        <v>394</v>
      </c>
      <c r="B365" s="2">
        <v>47</v>
      </c>
      <c r="C365" s="2" t="str" cm="1">
        <f t="array" ref="C365">_xlfn.IFS(B365&lt;25, "Youth (16–24)", B365&lt;35, "Young Adults (25–34)", B365&lt;45, "Adults (35–44)", B365&lt;55, "Middle-aged (45–54)")</f>
        <v>Middle-aged (45–54)</v>
      </c>
      <c r="D365" t="s">
        <v>16</v>
      </c>
      <c r="E365" s="1">
        <v>3.8</v>
      </c>
      <c r="F365" s="1" t="str" cm="1">
        <f t="array" ref="F365">_xlfn.IFS(E365&lt;3, "Low (0–3 hrs)", E365&lt;6, "Moderate (3–6 hrs)", E365&lt;8, "High (6–8 hrs)", E365&gt;=8, "Very High (8+ hrs)")</f>
        <v>Moderate (3–6 hrs)</v>
      </c>
      <c r="G365" s="2">
        <v>8</v>
      </c>
      <c r="H365" s="2">
        <v>4</v>
      </c>
      <c r="I365" s="2">
        <v>2</v>
      </c>
      <c r="J365" s="2">
        <v>4</v>
      </c>
      <c r="K365" s="2" t="str" cm="1">
        <f t="array" ref="K365">_xlfn.IFS(Table1[[#This Row],[Exercise_Frequency(week)]]&lt;3, "Beginners (0–2 days)", Table1[[#This Row],[Exercise_Frequency(week)]]&lt;5, "Intermediate (3–4 days)", Table1[[#This Row],[Exercise_Frequency(week)]]&lt;8, "Advanced (5–7 days)")</f>
        <v>Intermediate (3–4 days)</v>
      </c>
      <c r="L365" t="s">
        <v>13</v>
      </c>
      <c r="M365" s="2">
        <v>10</v>
      </c>
    </row>
    <row r="366" spans="1:13" x14ac:dyDescent="0.5">
      <c r="A366" t="s">
        <v>395</v>
      </c>
      <c r="B366" s="2">
        <v>27</v>
      </c>
      <c r="C366" s="2" t="str" cm="1">
        <f t="array" ref="C366">_xlfn.IFS(B366&lt;25, "Youth (16–24)", B366&lt;35, "Young Adults (25–34)", B366&lt;45, "Adults (35–44)", B366&lt;55, "Middle-aged (45–54)")</f>
        <v>Young Adults (25–34)</v>
      </c>
      <c r="D366" t="s">
        <v>11</v>
      </c>
      <c r="E366" s="1">
        <v>3.9</v>
      </c>
      <c r="F366" s="1" t="str" cm="1">
        <f t="array" ref="F366">_xlfn.IFS(E366&lt;3, "Low (0–3 hrs)", E366&lt;6, "Moderate (3–6 hrs)", E366&lt;8, "High (6–8 hrs)", E366&gt;=8, "Very High (8+ hrs)")</f>
        <v>Moderate (3–6 hrs)</v>
      </c>
      <c r="G366" s="2">
        <v>7</v>
      </c>
      <c r="H366" s="2">
        <v>5</v>
      </c>
      <c r="I366" s="2">
        <v>0</v>
      </c>
      <c r="J366" s="2">
        <v>4</v>
      </c>
      <c r="K366" s="2" t="str" cm="1">
        <f t="array" ref="K366">_xlfn.IFS(Table1[[#This Row],[Exercise_Frequency(week)]]&lt;3, "Beginners (0–2 days)", Table1[[#This Row],[Exercise_Frequency(week)]]&lt;5, "Intermediate (3–4 days)", Table1[[#This Row],[Exercise_Frequency(week)]]&lt;8, "Advanced (5–7 days)")</f>
        <v>Intermediate (3–4 days)</v>
      </c>
      <c r="L366" t="s">
        <v>14</v>
      </c>
      <c r="M366" s="2">
        <v>10</v>
      </c>
    </row>
    <row r="367" spans="1:13" x14ac:dyDescent="0.5">
      <c r="A367" t="s">
        <v>403</v>
      </c>
      <c r="B367" s="2">
        <v>37</v>
      </c>
      <c r="C367" s="2" t="str" cm="1">
        <f t="array" ref="C367">_xlfn.IFS(B367&lt;25, "Youth (16–24)", B367&lt;35, "Young Adults (25–34)", B367&lt;45, "Adults (35–44)", B367&lt;55, "Middle-aged (45–54)")</f>
        <v>Adults (35–44)</v>
      </c>
      <c r="D367" t="s">
        <v>16</v>
      </c>
      <c r="E367" s="1">
        <v>4.4000000000000004</v>
      </c>
      <c r="F367" s="1" t="str" cm="1">
        <f t="array" ref="F367">_xlfn.IFS(E367&lt;3, "Low (0–3 hrs)", E367&lt;6, "Moderate (3–6 hrs)", E367&lt;8, "High (6–8 hrs)", E367&gt;=8, "Very High (8+ hrs)")</f>
        <v>Moderate (3–6 hrs)</v>
      </c>
      <c r="G367" s="2">
        <v>7</v>
      </c>
      <c r="H367" s="2">
        <v>6</v>
      </c>
      <c r="I367" s="2">
        <v>5</v>
      </c>
      <c r="J367" s="2">
        <v>4</v>
      </c>
      <c r="K367" s="2" t="str" cm="1">
        <f t="array" ref="K367">_xlfn.IFS(Table1[[#This Row],[Exercise_Frequency(week)]]&lt;3, "Beginners (0–2 days)", Table1[[#This Row],[Exercise_Frequency(week)]]&lt;5, "Intermediate (3–4 days)", Table1[[#This Row],[Exercise_Frequency(week)]]&lt;8, "Advanced (5–7 days)")</f>
        <v>Intermediate (3–4 days)</v>
      </c>
      <c r="L367" t="s">
        <v>14</v>
      </c>
      <c r="M367" s="2">
        <v>10</v>
      </c>
    </row>
    <row r="368" spans="1:13" x14ac:dyDescent="0.5">
      <c r="A368" t="s">
        <v>414</v>
      </c>
      <c r="B368" s="2">
        <v>34</v>
      </c>
      <c r="C368" s="2" t="str" cm="1">
        <f t="array" ref="C368">_xlfn.IFS(B368&lt;25, "Youth (16–24)", B368&lt;35, "Young Adults (25–34)", B368&lt;45, "Adults (35–44)", B368&lt;55, "Middle-aged (45–54)")</f>
        <v>Young Adults (25–34)</v>
      </c>
      <c r="D368" t="s">
        <v>16</v>
      </c>
      <c r="E368" s="1">
        <v>5.4</v>
      </c>
      <c r="F368" s="1" t="str" cm="1">
        <f t="array" ref="F368">_xlfn.IFS(E368&lt;3, "Low (0–3 hrs)", E368&lt;6, "Moderate (3–6 hrs)", E368&lt;8, "High (6–8 hrs)", E368&gt;=8, "Very High (8+ hrs)")</f>
        <v>Moderate (3–6 hrs)</v>
      </c>
      <c r="G368" s="2">
        <v>4</v>
      </c>
      <c r="H368" s="2">
        <v>5</v>
      </c>
      <c r="I368" s="2">
        <v>4</v>
      </c>
      <c r="J368" s="2">
        <v>4</v>
      </c>
      <c r="K368" s="2" t="str" cm="1">
        <f t="array" ref="K368">_xlfn.IFS(Table1[[#This Row],[Exercise_Frequency(week)]]&lt;3, "Beginners (0–2 days)", Table1[[#This Row],[Exercise_Frequency(week)]]&lt;5, "Intermediate (3–4 days)", Table1[[#This Row],[Exercise_Frequency(week)]]&lt;8, "Advanced (5–7 days)")</f>
        <v>Intermediate (3–4 days)</v>
      </c>
      <c r="L368" t="s">
        <v>19</v>
      </c>
      <c r="M368" s="2">
        <v>10</v>
      </c>
    </row>
    <row r="369" spans="1:13" x14ac:dyDescent="0.5">
      <c r="A369" t="s">
        <v>415</v>
      </c>
      <c r="B369" s="2">
        <v>31</v>
      </c>
      <c r="C369" s="2" t="str" cm="1">
        <f t="array" ref="C369">_xlfn.IFS(B369&lt;25, "Youth (16–24)", B369&lt;35, "Young Adults (25–34)", B369&lt;45, "Adults (35–44)", B369&lt;55, "Middle-aged (45–54)")</f>
        <v>Young Adults (25–34)</v>
      </c>
      <c r="D369" t="s">
        <v>11</v>
      </c>
      <c r="E369" s="1">
        <v>4.5</v>
      </c>
      <c r="F369" s="1" t="str" cm="1">
        <f t="array" ref="F369">_xlfn.IFS(E369&lt;3, "Low (0–3 hrs)", E369&lt;6, "Moderate (3–6 hrs)", E369&lt;8, "High (6–8 hrs)", E369&gt;=8, "Very High (8+ hrs)")</f>
        <v>Moderate (3–6 hrs)</v>
      </c>
      <c r="G369" s="2">
        <v>8</v>
      </c>
      <c r="H369" s="2">
        <v>5</v>
      </c>
      <c r="I369" s="2">
        <v>0</v>
      </c>
      <c r="J369" s="2">
        <v>4</v>
      </c>
      <c r="K369" s="2" t="str" cm="1">
        <f t="array" ref="K369">_xlfn.IFS(Table1[[#This Row],[Exercise_Frequency(week)]]&lt;3, "Beginners (0–2 days)", Table1[[#This Row],[Exercise_Frequency(week)]]&lt;5, "Intermediate (3–4 days)", Table1[[#This Row],[Exercise_Frequency(week)]]&lt;8, "Advanced (5–7 days)")</f>
        <v>Intermediate (3–4 days)</v>
      </c>
      <c r="L369" t="s">
        <v>23</v>
      </c>
      <c r="M369" s="2">
        <v>10</v>
      </c>
    </row>
    <row r="370" spans="1:13" x14ac:dyDescent="0.5">
      <c r="A370" t="s">
        <v>420</v>
      </c>
      <c r="B370" s="2">
        <v>31</v>
      </c>
      <c r="C370" s="2" t="str" cm="1">
        <f t="array" ref="C370">_xlfn.IFS(B370&lt;25, "Youth (16–24)", B370&lt;35, "Young Adults (25–34)", B370&lt;45, "Adults (35–44)", B370&lt;55, "Middle-aged (45–54)")</f>
        <v>Young Adults (25–34)</v>
      </c>
      <c r="D370" t="s">
        <v>16</v>
      </c>
      <c r="E370" s="1">
        <v>5</v>
      </c>
      <c r="F370" s="1" t="str" cm="1">
        <f t="array" ref="F370">_xlfn.IFS(E370&lt;3, "Low (0–3 hrs)", E370&lt;6, "Moderate (3–6 hrs)", E370&lt;8, "High (6–8 hrs)", E370&gt;=8, "Very High (8+ hrs)")</f>
        <v>Moderate (3–6 hrs)</v>
      </c>
      <c r="G370" s="2">
        <v>7</v>
      </c>
      <c r="H370" s="2">
        <v>6</v>
      </c>
      <c r="I370" s="2">
        <v>3</v>
      </c>
      <c r="J370" s="2">
        <v>4</v>
      </c>
      <c r="K370" s="2" t="str" cm="1">
        <f t="array" ref="K370">_xlfn.IFS(Table1[[#This Row],[Exercise_Frequency(week)]]&lt;3, "Beginners (0–2 days)", Table1[[#This Row],[Exercise_Frequency(week)]]&lt;5, "Intermediate (3–4 days)", Table1[[#This Row],[Exercise_Frequency(week)]]&lt;8, "Advanced (5–7 days)")</f>
        <v>Intermediate (3–4 days)</v>
      </c>
      <c r="L370" t="s">
        <v>17</v>
      </c>
      <c r="M370" s="2">
        <v>10</v>
      </c>
    </row>
    <row r="371" spans="1:13" x14ac:dyDescent="0.5">
      <c r="A371" t="s">
        <v>472</v>
      </c>
      <c r="B371" s="2">
        <v>35</v>
      </c>
      <c r="C371" s="2" t="str" cm="1">
        <f t="array" ref="C371">_xlfn.IFS(B371&lt;25, "Youth (16–24)", B371&lt;35, "Young Adults (25–34)", B371&lt;45, "Adults (35–44)", B371&lt;55, "Middle-aged (45–54)")</f>
        <v>Adults (35–44)</v>
      </c>
      <c r="D371" t="s">
        <v>11</v>
      </c>
      <c r="E371" s="1">
        <v>3.3</v>
      </c>
      <c r="F371" s="1" t="str" cm="1">
        <f t="array" ref="F371">_xlfn.IFS(E371&lt;3, "Low (0–3 hrs)", E371&lt;6, "Moderate (3–6 hrs)", E371&lt;8, "High (6–8 hrs)", E371&gt;=8, "Very High (8+ hrs)")</f>
        <v>Moderate (3–6 hrs)</v>
      </c>
      <c r="G371" s="2">
        <v>9</v>
      </c>
      <c r="H371" s="2">
        <v>6</v>
      </c>
      <c r="I371" s="2">
        <v>4</v>
      </c>
      <c r="J371" s="2">
        <v>4</v>
      </c>
      <c r="K371" s="2" t="str" cm="1">
        <f t="array" ref="K371">_xlfn.IFS(Table1[[#This Row],[Exercise_Frequency(week)]]&lt;3, "Beginners (0–2 days)", Table1[[#This Row],[Exercise_Frequency(week)]]&lt;5, "Intermediate (3–4 days)", Table1[[#This Row],[Exercise_Frequency(week)]]&lt;8, "Advanced (5–7 days)")</f>
        <v>Intermediate (3–4 days)</v>
      </c>
      <c r="L371" t="s">
        <v>14</v>
      </c>
      <c r="M371" s="2">
        <v>10</v>
      </c>
    </row>
    <row r="372" spans="1:13" x14ac:dyDescent="0.5">
      <c r="A372" t="s">
        <v>59</v>
      </c>
      <c r="B372" s="2">
        <v>25</v>
      </c>
      <c r="C372" s="2" t="str" cm="1">
        <f t="array" ref="C372">_xlfn.IFS(B372&lt;25, "Youth (16–24)", B372&lt;35, "Young Adults (25–34)", B372&lt;45, "Adults (35–44)", B372&lt;55, "Middle-aged (45–54)")</f>
        <v>Young Adults (25–34)</v>
      </c>
      <c r="D372" t="s">
        <v>16</v>
      </c>
      <c r="E372" s="1">
        <v>2</v>
      </c>
      <c r="F372" s="1" t="str" cm="1">
        <f t="array" ref="F372">_xlfn.IFS(E372&lt;3, "Low (0–3 hrs)", E372&lt;6, "Moderate (3–6 hrs)", E372&lt;8, "High (6–8 hrs)", E372&gt;=8, "Very High (8+ hrs)")</f>
        <v>Low (0–3 hrs)</v>
      </c>
      <c r="G372" s="2">
        <v>9</v>
      </c>
      <c r="H372" s="2">
        <v>4</v>
      </c>
      <c r="I372" s="2">
        <v>5</v>
      </c>
      <c r="J372" s="2">
        <v>3</v>
      </c>
      <c r="K372" s="2" t="str" cm="1">
        <f t="array" ref="K372">_xlfn.IFS(Table1[[#This Row],[Exercise_Frequency(week)]]&lt;3, "Beginners (0–2 days)", Table1[[#This Row],[Exercise_Frequency(week)]]&lt;5, "Intermediate (3–4 days)", Table1[[#This Row],[Exercise_Frequency(week)]]&lt;8, "Advanced (5–7 days)")</f>
        <v>Intermediate (3–4 days)</v>
      </c>
      <c r="L372" t="s">
        <v>19</v>
      </c>
      <c r="M372" s="2">
        <v>10</v>
      </c>
    </row>
    <row r="373" spans="1:13" x14ac:dyDescent="0.5">
      <c r="A373" t="s">
        <v>61</v>
      </c>
      <c r="B373" s="2">
        <v>46</v>
      </c>
      <c r="C373" s="2" t="str" cm="1">
        <f t="array" ref="C373">_xlfn.IFS(B373&lt;25, "Youth (16–24)", B373&lt;35, "Young Adults (25–34)", B373&lt;45, "Adults (35–44)", B373&lt;55, "Middle-aged (45–54)")</f>
        <v>Middle-aged (45–54)</v>
      </c>
      <c r="D373" t="s">
        <v>16</v>
      </c>
      <c r="E373" s="1">
        <v>3.6</v>
      </c>
      <c r="F373" s="1" t="str" cm="1">
        <f t="array" ref="F373">_xlfn.IFS(E373&lt;3, "Low (0–3 hrs)", E373&lt;6, "Moderate (3–6 hrs)", E373&lt;8, "High (6–8 hrs)", E373&gt;=8, "Very High (8+ hrs)")</f>
        <v>Moderate (3–6 hrs)</v>
      </c>
      <c r="G373" s="2">
        <v>7</v>
      </c>
      <c r="H373" s="2">
        <v>5</v>
      </c>
      <c r="I373" s="2">
        <v>3</v>
      </c>
      <c r="J373" s="2">
        <v>3</v>
      </c>
      <c r="K373" s="2" t="str" cm="1">
        <f t="array" ref="K373">_xlfn.IFS(Table1[[#This Row],[Exercise_Frequency(week)]]&lt;3, "Beginners (0–2 days)", Table1[[#This Row],[Exercise_Frequency(week)]]&lt;5, "Intermediate (3–4 days)", Table1[[#This Row],[Exercise_Frequency(week)]]&lt;8, "Advanced (5–7 days)")</f>
        <v>Intermediate (3–4 days)</v>
      </c>
      <c r="L373" t="s">
        <v>14</v>
      </c>
      <c r="M373" s="2">
        <v>10</v>
      </c>
    </row>
    <row r="374" spans="1:13" x14ac:dyDescent="0.5">
      <c r="A374" t="s">
        <v>64</v>
      </c>
      <c r="B374" s="2">
        <v>29</v>
      </c>
      <c r="C374" s="2" t="str" cm="1">
        <f t="array" ref="C374">_xlfn.IFS(B374&lt;25, "Youth (16–24)", B374&lt;35, "Young Adults (25–34)", B374&lt;45, "Adults (35–44)", B374&lt;55, "Middle-aged (45–54)")</f>
        <v>Young Adults (25–34)</v>
      </c>
      <c r="D374" t="s">
        <v>16</v>
      </c>
      <c r="E374" s="1">
        <v>4</v>
      </c>
      <c r="F374" s="1" t="str" cm="1">
        <f t="array" ref="F374">_xlfn.IFS(E374&lt;3, "Low (0–3 hrs)", E374&lt;6, "Moderate (3–6 hrs)", E374&lt;8, "High (6–8 hrs)", E374&gt;=8, "Very High (8+ hrs)")</f>
        <v>Moderate (3–6 hrs)</v>
      </c>
      <c r="G374" s="2">
        <v>7</v>
      </c>
      <c r="H374" s="2">
        <v>3</v>
      </c>
      <c r="I374" s="2">
        <v>3</v>
      </c>
      <c r="J374" s="2">
        <v>3</v>
      </c>
      <c r="K374" s="2" t="str" cm="1">
        <f t="array" ref="K374">_xlfn.IFS(Table1[[#This Row],[Exercise_Frequency(week)]]&lt;3, "Beginners (0–2 days)", Table1[[#This Row],[Exercise_Frequency(week)]]&lt;5, "Intermediate (3–4 days)", Table1[[#This Row],[Exercise_Frequency(week)]]&lt;8, "Advanced (5–7 days)")</f>
        <v>Intermediate (3–4 days)</v>
      </c>
      <c r="L374" t="s">
        <v>17</v>
      </c>
      <c r="M374" s="2">
        <v>10</v>
      </c>
    </row>
    <row r="375" spans="1:13" x14ac:dyDescent="0.5">
      <c r="A375" t="s">
        <v>69</v>
      </c>
      <c r="B375" s="2">
        <v>39</v>
      </c>
      <c r="C375" s="2" t="str" cm="1">
        <f t="array" ref="C375">_xlfn.IFS(B375&lt;25, "Youth (16–24)", B375&lt;35, "Young Adults (25–34)", B375&lt;45, "Adults (35–44)", B375&lt;55, "Middle-aged (45–54)")</f>
        <v>Adults (35–44)</v>
      </c>
      <c r="D375" t="s">
        <v>11</v>
      </c>
      <c r="E375" s="1">
        <v>2.7</v>
      </c>
      <c r="F375" s="1" t="str" cm="1">
        <f t="array" ref="F375">_xlfn.IFS(E375&lt;3, "Low (0–3 hrs)", E375&lt;6, "Moderate (3–6 hrs)", E375&lt;8, "High (6–8 hrs)", E375&gt;=8, "Very High (8+ hrs)")</f>
        <v>Low (0–3 hrs)</v>
      </c>
      <c r="G375" s="2">
        <v>9</v>
      </c>
      <c r="H375" s="2">
        <v>5</v>
      </c>
      <c r="I375" s="2">
        <v>1</v>
      </c>
      <c r="J375" s="2">
        <v>3</v>
      </c>
      <c r="K375" s="2" t="str" cm="1">
        <f t="array" ref="K375">_xlfn.IFS(Table1[[#This Row],[Exercise_Frequency(week)]]&lt;3, "Beginners (0–2 days)", Table1[[#This Row],[Exercise_Frequency(week)]]&lt;5, "Intermediate (3–4 days)", Table1[[#This Row],[Exercise_Frequency(week)]]&lt;8, "Advanced (5–7 days)")</f>
        <v>Intermediate (3–4 days)</v>
      </c>
      <c r="L375" t="s">
        <v>17</v>
      </c>
      <c r="M375" s="2">
        <v>10</v>
      </c>
    </row>
    <row r="376" spans="1:13" x14ac:dyDescent="0.5">
      <c r="A376" t="s">
        <v>71</v>
      </c>
      <c r="B376" s="2">
        <v>40</v>
      </c>
      <c r="C376" s="2" t="str" cm="1">
        <f t="array" ref="C376">_xlfn.IFS(B376&lt;25, "Youth (16–24)", B376&lt;35, "Young Adults (25–34)", B376&lt;45, "Adults (35–44)", B376&lt;55, "Middle-aged (45–54)")</f>
        <v>Adults (35–44)</v>
      </c>
      <c r="D376" t="s">
        <v>16</v>
      </c>
      <c r="E376" s="1">
        <v>4.5999999999999996</v>
      </c>
      <c r="F376" s="1" t="str" cm="1">
        <f t="array" ref="F376">_xlfn.IFS(E376&lt;3, "Low (0–3 hrs)", E376&lt;6, "Moderate (3–6 hrs)", E376&lt;8, "High (6–8 hrs)", E376&gt;=8, "Very High (8+ hrs)")</f>
        <v>Moderate (3–6 hrs)</v>
      </c>
      <c r="G376" s="2">
        <v>7</v>
      </c>
      <c r="H376" s="2">
        <v>7</v>
      </c>
      <c r="I376" s="2">
        <v>1</v>
      </c>
      <c r="J376" s="2">
        <v>3</v>
      </c>
      <c r="K376" s="2" t="str" cm="1">
        <f t="array" ref="K376">_xlfn.IFS(Table1[[#This Row],[Exercise_Frequency(week)]]&lt;3, "Beginners (0–2 days)", Table1[[#This Row],[Exercise_Frequency(week)]]&lt;5, "Intermediate (3–4 days)", Table1[[#This Row],[Exercise_Frequency(week)]]&lt;8, "Advanced (5–7 days)")</f>
        <v>Intermediate (3–4 days)</v>
      </c>
      <c r="L376" t="s">
        <v>19</v>
      </c>
      <c r="M376" s="2">
        <v>10</v>
      </c>
    </row>
    <row r="377" spans="1:13" x14ac:dyDescent="0.5">
      <c r="A377" t="s">
        <v>78</v>
      </c>
      <c r="B377" s="2">
        <v>39</v>
      </c>
      <c r="C377" s="2" t="str" cm="1">
        <f t="array" ref="C377">_xlfn.IFS(B377&lt;25, "Youth (16–24)", B377&lt;35, "Young Adults (25–34)", B377&lt;45, "Adults (35–44)", B377&lt;55, "Middle-aged (45–54)")</f>
        <v>Adults (35–44)</v>
      </c>
      <c r="D377" t="s">
        <v>11</v>
      </c>
      <c r="E377" s="1">
        <v>3.4</v>
      </c>
      <c r="F377" s="1" t="str" cm="1">
        <f t="array" ref="F377">_xlfn.IFS(E377&lt;3, "Low (0–3 hrs)", E377&lt;6, "Moderate (3–6 hrs)", E377&lt;8, "High (6–8 hrs)", E377&gt;=8, "Very High (8+ hrs)")</f>
        <v>Moderate (3–6 hrs)</v>
      </c>
      <c r="G377" s="2">
        <v>8</v>
      </c>
      <c r="H377" s="2">
        <v>6</v>
      </c>
      <c r="I377" s="2">
        <v>7</v>
      </c>
      <c r="J377" s="2">
        <v>3</v>
      </c>
      <c r="K377" s="2" t="str" cm="1">
        <f t="array" ref="K377">_xlfn.IFS(Table1[[#This Row],[Exercise_Frequency(week)]]&lt;3, "Beginners (0–2 days)", Table1[[#This Row],[Exercise_Frequency(week)]]&lt;5, "Intermediate (3–4 days)", Table1[[#This Row],[Exercise_Frequency(week)]]&lt;8, "Advanced (5–7 days)")</f>
        <v>Intermediate (3–4 days)</v>
      </c>
      <c r="L377" t="s">
        <v>13</v>
      </c>
      <c r="M377" s="2">
        <v>10</v>
      </c>
    </row>
    <row r="378" spans="1:13" x14ac:dyDescent="0.5">
      <c r="A378" t="s">
        <v>102</v>
      </c>
      <c r="B378" s="2">
        <v>29</v>
      </c>
      <c r="C378" s="2" t="str" cm="1">
        <f t="array" ref="C378">_xlfn.IFS(B378&lt;25, "Youth (16–24)", B378&lt;35, "Young Adults (25–34)", B378&lt;45, "Adults (35–44)", B378&lt;55, "Middle-aged (45–54)")</f>
        <v>Young Adults (25–34)</v>
      </c>
      <c r="D378" t="s">
        <v>11</v>
      </c>
      <c r="E378" s="1">
        <v>3.9</v>
      </c>
      <c r="F378" s="1" t="str" cm="1">
        <f t="array" ref="F378">_xlfn.IFS(E378&lt;3, "Low (0–3 hrs)", E378&lt;6, "Moderate (3–6 hrs)", E378&lt;8, "High (6–8 hrs)", E378&gt;=8, "Very High (8+ hrs)")</f>
        <v>Moderate (3–6 hrs)</v>
      </c>
      <c r="G378" s="2">
        <v>7</v>
      </c>
      <c r="H378" s="2">
        <v>6</v>
      </c>
      <c r="I378" s="2">
        <v>2</v>
      </c>
      <c r="J378" s="2">
        <v>3</v>
      </c>
      <c r="K378" s="2" t="str" cm="1">
        <f t="array" ref="K378">_xlfn.IFS(Table1[[#This Row],[Exercise_Frequency(week)]]&lt;3, "Beginners (0–2 days)", Table1[[#This Row],[Exercise_Frequency(week)]]&lt;5, "Intermediate (3–4 days)", Table1[[#This Row],[Exercise_Frequency(week)]]&lt;8, "Advanced (5–7 days)")</f>
        <v>Intermediate (3–4 days)</v>
      </c>
      <c r="L378" t="s">
        <v>17</v>
      </c>
      <c r="M378" s="2">
        <v>10</v>
      </c>
    </row>
    <row r="379" spans="1:13" x14ac:dyDescent="0.5">
      <c r="A379" t="s">
        <v>106</v>
      </c>
      <c r="B379" s="2">
        <v>30</v>
      </c>
      <c r="C379" s="2" t="str" cm="1">
        <f t="array" ref="C379">_xlfn.IFS(B379&lt;25, "Youth (16–24)", B379&lt;35, "Young Adults (25–34)", B379&lt;45, "Adults (35–44)", B379&lt;55, "Middle-aged (45–54)")</f>
        <v>Young Adults (25–34)</v>
      </c>
      <c r="D379" t="s">
        <v>16</v>
      </c>
      <c r="E379" s="1">
        <v>3.5</v>
      </c>
      <c r="F379" s="1" t="str" cm="1">
        <f t="array" ref="F379">_xlfn.IFS(E379&lt;3, "Low (0–3 hrs)", E379&lt;6, "Moderate (3–6 hrs)", E379&lt;8, "High (6–8 hrs)", E379&gt;=8, "Very High (8+ hrs)")</f>
        <v>Moderate (3–6 hrs)</v>
      </c>
      <c r="G379" s="2">
        <v>8</v>
      </c>
      <c r="H379" s="2">
        <v>4</v>
      </c>
      <c r="I379" s="2">
        <v>3</v>
      </c>
      <c r="J379" s="2">
        <v>3</v>
      </c>
      <c r="K379" s="2" t="str" cm="1">
        <f t="array" ref="K379">_xlfn.IFS(Table1[[#This Row],[Exercise_Frequency(week)]]&lt;3, "Beginners (0–2 days)", Table1[[#This Row],[Exercise_Frequency(week)]]&lt;5, "Intermediate (3–4 days)", Table1[[#This Row],[Exercise_Frequency(week)]]&lt;8, "Advanced (5–7 days)")</f>
        <v>Intermediate (3–4 days)</v>
      </c>
      <c r="L379" t="s">
        <v>12</v>
      </c>
      <c r="M379" s="2">
        <v>10</v>
      </c>
    </row>
    <row r="380" spans="1:13" x14ac:dyDescent="0.5">
      <c r="A380" t="s">
        <v>107</v>
      </c>
      <c r="B380" s="2">
        <v>41</v>
      </c>
      <c r="C380" s="2" t="str" cm="1">
        <f t="array" ref="C380">_xlfn.IFS(B380&lt;25, "Youth (16–24)", B380&lt;35, "Young Adults (25–34)", B380&lt;45, "Adults (35–44)", B380&lt;55, "Middle-aged (45–54)")</f>
        <v>Adults (35–44)</v>
      </c>
      <c r="D380" t="s">
        <v>11</v>
      </c>
      <c r="E380" s="1">
        <v>2.5</v>
      </c>
      <c r="F380" s="1" t="str" cm="1">
        <f t="array" ref="F380">_xlfn.IFS(E380&lt;3, "Low (0–3 hrs)", E380&lt;6, "Moderate (3–6 hrs)", E380&lt;8, "High (6–8 hrs)", E380&gt;=8, "Very High (8+ hrs)")</f>
        <v>Low (0–3 hrs)</v>
      </c>
      <c r="G380" s="2">
        <v>9</v>
      </c>
      <c r="H380" s="2">
        <v>4</v>
      </c>
      <c r="I380" s="2">
        <v>6</v>
      </c>
      <c r="J380" s="2">
        <v>3</v>
      </c>
      <c r="K380" s="2" t="str" cm="1">
        <f t="array" ref="K380">_xlfn.IFS(Table1[[#This Row],[Exercise_Frequency(week)]]&lt;3, "Beginners (0–2 days)", Table1[[#This Row],[Exercise_Frequency(week)]]&lt;5, "Intermediate (3–4 days)", Table1[[#This Row],[Exercise_Frequency(week)]]&lt;8, "Advanced (5–7 days)")</f>
        <v>Intermediate (3–4 days)</v>
      </c>
      <c r="L380" t="s">
        <v>23</v>
      </c>
      <c r="M380" s="2">
        <v>10</v>
      </c>
    </row>
    <row r="381" spans="1:13" x14ac:dyDescent="0.5">
      <c r="A381" t="s">
        <v>121</v>
      </c>
      <c r="B381" s="2">
        <v>17</v>
      </c>
      <c r="C381" s="2" t="str" cm="1">
        <f t="array" ref="C381">_xlfn.IFS(B381&lt;25, "Youth (16–24)", B381&lt;35, "Young Adults (25–34)", B381&lt;45, "Adults (35–44)", B381&lt;55, "Middle-aged (45–54)")</f>
        <v>Youth (16–24)</v>
      </c>
      <c r="D381" t="s">
        <v>16</v>
      </c>
      <c r="E381" s="1">
        <v>4.8</v>
      </c>
      <c r="F381" s="1" t="str" cm="1">
        <f t="array" ref="F381">_xlfn.IFS(E381&lt;3, "Low (0–3 hrs)", E381&lt;6, "Moderate (3–6 hrs)", E381&lt;8, "High (6–8 hrs)", E381&gt;=8, "Very High (8+ hrs)")</f>
        <v>Moderate (3–6 hrs)</v>
      </c>
      <c r="G381" s="2">
        <v>7</v>
      </c>
      <c r="H381" s="2">
        <v>6</v>
      </c>
      <c r="I381" s="2">
        <v>3</v>
      </c>
      <c r="J381" s="2">
        <v>3</v>
      </c>
      <c r="K381" s="2" t="str" cm="1">
        <f t="array" ref="K381">_xlfn.IFS(Table1[[#This Row],[Exercise_Frequency(week)]]&lt;3, "Beginners (0–2 days)", Table1[[#This Row],[Exercise_Frequency(week)]]&lt;5, "Intermediate (3–4 days)", Table1[[#This Row],[Exercise_Frequency(week)]]&lt;8, "Advanced (5–7 days)")</f>
        <v>Intermediate (3–4 days)</v>
      </c>
      <c r="L381" t="s">
        <v>17</v>
      </c>
      <c r="M381" s="2">
        <v>10</v>
      </c>
    </row>
    <row r="382" spans="1:13" x14ac:dyDescent="0.5">
      <c r="A382" t="s">
        <v>130</v>
      </c>
      <c r="B382" s="2">
        <v>48</v>
      </c>
      <c r="C382" s="2" t="str" cm="1">
        <f t="array" ref="C382">_xlfn.IFS(B382&lt;25, "Youth (16–24)", B382&lt;35, "Young Adults (25–34)", B382&lt;45, "Adults (35–44)", B382&lt;55, "Middle-aged (45–54)")</f>
        <v>Middle-aged (45–54)</v>
      </c>
      <c r="D382" t="s">
        <v>11</v>
      </c>
      <c r="E382" s="1">
        <v>2.8</v>
      </c>
      <c r="F382" s="1" t="str" cm="1">
        <f t="array" ref="F382">_xlfn.IFS(E382&lt;3, "Low (0–3 hrs)", E382&lt;6, "Moderate (3–6 hrs)", E382&lt;8, "High (6–8 hrs)", E382&gt;=8, "Very High (8+ hrs)")</f>
        <v>Low (0–3 hrs)</v>
      </c>
      <c r="G382" s="2">
        <v>7</v>
      </c>
      <c r="H382" s="2">
        <v>5</v>
      </c>
      <c r="I382" s="2">
        <v>5</v>
      </c>
      <c r="J382" s="2">
        <v>3</v>
      </c>
      <c r="K382" s="2" t="str" cm="1">
        <f t="array" ref="K382">_xlfn.IFS(Table1[[#This Row],[Exercise_Frequency(week)]]&lt;3, "Beginners (0–2 days)", Table1[[#This Row],[Exercise_Frequency(week)]]&lt;5, "Intermediate (3–4 days)", Table1[[#This Row],[Exercise_Frequency(week)]]&lt;8, "Advanced (5–7 days)")</f>
        <v>Intermediate (3–4 days)</v>
      </c>
      <c r="L382" t="s">
        <v>14</v>
      </c>
      <c r="M382" s="2">
        <v>10</v>
      </c>
    </row>
    <row r="383" spans="1:13" x14ac:dyDescent="0.5">
      <c r="A383" t="s">
        <v>154</v>
      </c>
      <c r="B383" s="2">
        <v>48</v>
      </c>
      <c r="C383" s="2" t="str" cm="1">
        <f t="array" ref="C383">_xlfn.IFS(B383&lt;25, "Youth (16–24)", B383&lt;35, "Young Adults (25–34)", B383&lt;45, "Adults (35–44)", B383&lt;55, "Middle-aged (45–54)")</f>
        <v>Middle-aged (45–54)</v>
      </c>
      <c r="D383" t="s">
        <v>11</v>
      </c>
      <c r="E383" s="1">
        <v>4.5999999999999996</v>
      </c>
      <c r="F383" s="1" t="str" cm="1">
        <f t="array" ref="F383">_xlfn.IFS(E383&lt;3, "Low (0–3 hrs)", E383&lt;6, "Moderate (3–6 hrs)", E383&lt;8, "High (6–8 hrs)", E383&gt;=8, "Very High (8+ hrs)")</f>
        <v>Moderate (3–6 hrs)</v>
      </c>
      <c r="G383" s="2">
        <v>7</v>
      </c>
      <c r="H383" s="2">
        <v>5</v>
      </c>
      <c r="I383" s="2">
        <v>2</v>
      </c>
      <c r="J383" s="2">
        <v>3</v>
      </c>
      <c r="K383" s="2" t="str" cm="1">
        <f t="array" ref="K383">_xlfn.IFS(Table1[[#This Row],[Exercise_Frequency(week)]]&lt;3, "Beginners (0–2 days)", Table1[[#This Row],[Exercise_Frequency(week)]]&lt;5, "Intermediate (3–4 days)", Table1[[#This Row],[Exercise_Frequency(week)]]&lt;8, "Advanced (5–7 days)")</f>
        <v>Intermediate (3–4 days)</v>
      </c>
      <c r="L383" t="s">
        <v>17</v>
      </c>
      <c r="M383" s="2">
        <v>10</v>
      </c>
    </row>
    <row r="384" spans="1:13" x14ac:dyDescent="0.5">
      <c r="A384" t="s">
        <v>156</v>
      </c>
      <c r="B384" s="2">
        <v>34</v>
      </c>
      <c r="C384" s="2" t="str" cm="1">
        <f t="array" ref="C384">_xlfn.IFS(B384&lt;25, "Youth (16–24)", B384&lt;35, "Young Adults (25–34)", B384&lt;45, "Adults (35–44)", B384&lt;55, "Middle-aged (45–54)")</f>
        <v>Young Adults (25–34)</v>
      </c>
      <c r="D384" t="s">
        <v>16</v>
      </c>
      <c r="E384" s="1">
        <v>1.8</v>
      </c>
      <c r="F384" s="1" t="str" cm="1">
        <f t="array" ref="F384">_xlfn.IFS(E384&lt;3, "Low (0–3 hrs)", E384&lt;6, "Moderate (3–6 hrs)", E384&lt;8, "High (6–8 hrs)", E384&gt;=8, "Very High (8+ hrs)")</f>
        <v>Low (0–3 hrs)</v>
      </c>
      <c r="G384" s="2">
        <v>9</v>
      </c>
      <c r="H384" s="2">
        <v>7</v>
      </c>
      <c r="I384" s="2">
        <v>3</v>
      </c>
      <c r="J384" s="2">
        <v>3</v>
      </c>
      <c r="K384" s="2" t="str" cm="1">
        <f t="array" ref="K384">_xlfn.IFS(Table1[[#This Row],[Exercise_Frequency(week)]]&lt;3, "Beginners (0–2 days)", Table1[[#This Row],[Exercise_Frequency(week)]]&lt;5, "Intermediate (3–4 days)", Table1[[#This Row],[Exercise_Frequency(week)]]&lt;8, "Advanced (5–7 days)")</f>
        <v>Intermediate (3–4 days)</v>
      </c>
      <c r="L384" t="s">
        <v>13</v>
      </c>
      <c r="M384" s="2">
        <v>10</v>
      </c>
    </row>
    <row r="385" spans="1:13" x14ac:dyDescent="0.5">
      <c r="A385" t="s">
        <v>195</v>
      </c>
      <c r="B385" s="2">
        <v>17</v>
      </c>
      <c r="C385" s="2" t="str" cm="1">
        <f t="array" ref="C385">_xlfn.IFS(B385&lt;25, "Youth (16–24)", B385&lt;35, "Young Adults (25–34)", B385&lt;45, "Adults (35–44)", B385&lt;55, "Middle-aged (45–54)")</f>
        <v>Youth (16–24)</v>
      </c>
      <c r="D385" t="s">
        <v>16</v>
      </c>
      <c r="E385" s="1">
        <v>4.9000000000000004</v>
      </c>
      <c r="F385" s="1" t="str" cm="1">
        <f t="array" ref="F385">_xlfn.IFS(E385&lt;3, "Low (0–3 hrs)", E385&lt;6, "Moderate (3–6 hrs)", E385&lt;8, "High (6–8 hrs)", E385&gt;=8, "Very High (8+ hrs)")</f>
        <v>Moderate (3–6 hrs)</v>
      </c>
      <c r="G385" s="2">
        <v>7</v>
      </c>
      <c r="H385" s="2">
        <v>6</v>
      </c>
      <c r="I385" s="2">
        <v>3</v>
      </c>
      <c r="J385" s="2">
        <v>3</v>
      </c>
      <c r="K385" s="2" t="str" cm="1">
        <f t="array" ref="K385">_xlfn.IFS(Table1[[#This Row],[Exercise_Frequency(week)]]&lt;3, "Beginners (0–2 days)", Table1[[#This Row],[Exercise_Frequency(week)]]&lt;5, "Intermediate (3–4 days)", Table1[[#This Row],[Exercise_Frequency(week)]]&lt;8, "Advanced (5–7 days)")</f>
        <v>Intermediate (3–4 days)</v>
      </c>
      <c r="L385" t="s">
        <v>19</v>
      </c>
      <c r="M385" s="2">
        <v>10</v>
      </c>
    </row>
    <row r="386" spans="1:13" x14ac:dyDescent="0.5">
      <c r="A386" t="s">
        <v>200</v>
      </c>
      <c r="B386" s="2">
        <v>24</v>
      </c>
      <c r="C386" s="2" t="str" cm="1">
        <f t="array" ref="C386">_xlfn.IFS(B386&lt;25, "Youth (16–24)", B386&lt;35, "Young Adults (25–34)", B386&lt;45, "Adults (35–44)", B386&lt;55, "Middle-aged (45–54)")</f>
        <v>Youth (16–24)</v>
      </c>
      <c r="D386" t="s">
        <v>11</v>
      </c>
      <c r="E386" s="1">
        <v>4.4000000000000004</v>
      </c>
      <c r="F386" s="1" t="str" cm="1">
        <f t="array" ref="F386">_xlfn.IFS(E386&lt;3, "Low (0–3 hrs)", E386&lt;6, "Moderate (3–6 hrs)", E386&lt;8, "High (6–8 hrs)", E386&gt;=8, "Very High (8+ hrs)")</f>
        <v>Moderate (3–6 hrs)</v>
      </c>
      <c r="G386" s="2">
        <v>8</v>
      </c>
      <c r="H386" s="2">
        <v>7</v>
      </c>
      <c r="I386" s="2">
        <v>6</v>
      </c>
      <c r="J386" s="2">
        <v>3</v>
      </c>
      <c r="K386" s="2" t="str" cm="1">
        <f t="array" ref="K386">_xlfn.IFS(Table1[[#This Row],[Exercise_Frequency(week)]]&lt;3, "Beginners (0–2 days)", Table1[[#This Row],[Exercise_Frequency(week)]]&lt;5, "Intermediate (3–4 days)", Table1[[#This Row],[Exercise_Frequency(week)]]&lt;8, "Advanced (5–7 days)")</f>
        <v>Intermediate (3–4 days)</v>
      </c>
      <c r="L386" t="s">
        <v>23</v>
      </c>
      <c r="M386" s="2">
        <v>10</v>
      </c>
    </row>
    <row r="387" spans="1:13" x14ac:dyDescent="0.5">
      <c r="A387" t="s">
        <v>202</v>
      </c>
      <c r="B387" s="2">
        <v>31</v>
      </c>
      <c r="C387" s="2" t="str" cm="1">
        <f t="array" ref="C387">_xlfn.IFS(B387&lt;25, "Youth (16–24)", B387&lt;35, "Young Adults (25–34)", B387&lt;45, "Adults (35–44)", B387&lt;55, "Middle-aged (45–54)")</f>
        <v>Young Adults (25–34)</v>
      </c>
      <c r="D387" t="s">
        <v>16</v>
      </c>
      <c r="E387" s="1">
        <v>5</v>
      </c>
      <c r="F387" s="1" t="str" cm="1">
        <f t="array" ref="F387">_xlfn.IFS(E387&lt;3, "Low (0–3 hrs)", E387&lt;6, "Moderate (3–6 hrs)", E387&lt;8, "High (6–8 hrs)", E387&gt;=8, "Very High (8+ hrs)")</f>
        <v>Moderate (3–6 hrs)</v>
      </c>
      <c r="G387" s="2">
        <v>7</v>
      </c>
      <c r="H387" s="2">
        <v>5</v>
      </c>
      <c r="I387" s="2">
        <v>2</v>
      </c>
      <c r="J387" s="2">
        <v>3</v>
      </c>
      <c r="K387" s="2" t="str" cm="1">
        <f t="array" ref="K387">_xlfn.IFS(Table1[[#This Row],[Exercise_Frequency(week)]]&lt;3, "Beginners (0–2 days)", Table1[[#This Row],[Exercise_Frequency(week)]]&lt;5, "Intermediate (3–4 days)", Table1[[#This Row],[Exercise_Frequency(week)]]&lt;8, "Advanced (5–7 days)")</f>
        <v>Intermediate (3–4 days)</v>
      </c>
      <c r="L387" t="s">
        <v>19</v>
      </c>
      <c r="M387" s="2">
        <v>10</v>
      </c>
    </row>
    <row r="388" spans="1:13" x14ac:dyDescent="0.5">
      <c r="A388" t="s">
        <v>218</v>
      </c>
      <c r="B388" s="2">
        <v>19</v>
      </c>
      <c r="C388" s="2" t="str" cm="1">
        <f t="array" ref="C388">_xlfn.IFS(B388&lt;25, "Youth (16–24)", B388&lt;35, "Young Adults (25–34)", B388&lt;45, "Adults (35–44)", B388&lt;55, "Middle-aged (45–54)")</f>
        <v>Youth (16–24)</v>
      </c>
      <c r="D388" t="s">
        <v>16</v>
      </c>
      <c r="E388" s="1">
        <v>8.6999999999999993</v>
      </c>
      <c r="F388" s="1" t="str" cm="1">
        <f t="array" ref="F388">_xlfn.IFS(E388&lt;3, "Low (0–3 hrs)", E388&lt;6, "Moderate (3–6 hrs)", E388&lt;8, "High (6–8 hrs)", E388&gt;=8, "Very High (8+ hrs)")</f>
        <v>Very High (8+ hrs)</v>
      </c>
      <c r="G388" s="2">
        <v>6</v>
      </c>
      <c r="H388" s="2">
        <v>7</v>
      </c>
      <c r="I388" s="2">
        <v>5</v>
      </c>
      <c r="J388" s="2">
        <v>3</v>
      </c>
      <c r="K388" s="2" t="str" cm="1">
        <f t="array" ref="K388">_xlfn.IFS(Table1[[#This Row],[Exercise_Frequency(week)]]&lt;3, "Beginners (0–2 days)", Table1[[#This Row],[Exercise_Frequency(week)]]&lt;5, "Intermediate (3–4 days)", Table1[[#This Row],[Exercise_Frequency(week)]]&lt;8, "Advanced (5–7 days)")</f>
        <v>Intermediate (3–4 days)</v>
      </c>
      <c r="L388" t="s">
        <v>14</v>
      </c>
      <c r="M388" s="2">
        <v>10</v>
      </c>
    </row>
    <row r="389" spans="1:13" x14ac:dyDescent="0.5">
      <c r="A389" t="s">
        <v>231</v>
      </c>
      <c r="B389" s="2">
        <v>23</v>
      </c>
      <c r="C389" s="2" t="str" cm="1">
        <f t="array" ref="C389">_xlfn.IFS(B389&lt;25, "Youth (16–24)", B389&lt;35, "Young Adults (25–34)", B389&lt;45, "Adults (35–44)", B389&lt;55, "Middle-aged (45–54)")</f>
        <v>Youth (16–24)</v>
      </c>
      <c r="D389" t="s">
        <v>11</v>
      </c>
      <c r="E389" s="1">
        <v>4.0999999999999996</v>
      </c>
      <c r="F389" s="1" t="str" cm="1">
        <f t="array" ref="F389">_xlfn.IFS(E389&lt;3, "Low (0–3 hrs)", E389&lt;6, "Moderate (3–6 hrs)", E389&lt;8, "High (6–8 hrs)", E389&gt;=8, "Very High (8+ hrs)")</f>
        <v>Moderate (3–6 hrs)</v>
      </c>
      <c r="G389" s="2">
        <v>8</v>
      </c>
      <c r="H389" s="2">
        <v>5</v>
      </c>
      <c r="I389" s="2">
        <v>6</v>
      </c>
      <c r="J389" s="2">
        <v>3</v>
      </c>
      <c r="K389" s="2" t="str" cm="1">
        <f t="array" ref="K389">_xlfn.IFS(Table1[[#This Row],[Exercise_Frequency(week)]]&lt;3, "Beginners (0–2 days)", Table1[[#This Row],[Exercise_Frequency(week)]]&lt;5, "Intermediate (3–4 days)", Table1[[#This Row],[Exercise_Frequency(week)]]&lt;8, "Advanced (5–7 days)")</f>
        <v>Intermediate (3–4 days)</v>
      </c>
      <c r="L389" t="s">
        <v>13</v>
      </c>
      <c r="M389" s="2">
        <v>10</v>
      </c>
    </row>
    <row r="390" spans="1:13" x14ac:dyDescent="0.5">
      <c r="A390" t="s">
        <v>236</v>
      </c>
      <c r="B390" s="2">
        <v>45</v>
      </c>
      <c r="C390" s="2" t="str" cm="1">
        <f t="array" ref="C390">_xlfn.IFS(B390&lt;25, "Youth (16–24)", B390&lt;35, "Young Adults (25–34)", B390&lt;45, "Adults (35–44)", B390&lt;55, "Middle-aged (45–54)")</f>
        <v>Middle-aged (45–54)</v>
      </c>
      <c r="D390" t="s">
        <v>16</v>
      </c>
      <c r="E390" s="1">
        <v>4.5</v>
      </c>
      <c r="F390" s="1" t="str" cm="1">
        <f t="array" ref="F390">_xlfn.IFS(E390&lt;3, "Low (0–3 hrs)", E390&lt;6, "Moderate (3–6 hrs)", E390&lt;8, "High (6–8 hrs)", E390&gt;=8, "Very High (8+ hrs)")</f>
        <v>Moderate (3–6 hrs)</v>
      </c>
      <c r="G390" s="2">
        <v>8</v>
      </c>
      <c r="H390" s="2">
        <v>6</v>
      </c>
      <c r="I390" s="2">
        <v>1</v>
      </c>
      <c r="J390" s="2">
        <v>3</v>
      </c>
      <c r="K390" s="2" t="str" cm="1">
        <f t="array" ref="K390">_xlfn.IFS(Table1[[#This Row],[Exercise_Frequency(week)]]&lt;3, "Beginners (0–2 days)", Table1[[#This Row],[Exercise_Frequency(week)]]&lt;5, "Intermediate (3–4 days)", Table1[[#This Row],[Exercise_Frequency(week)]]&lt;8, "Advanced (5–7 days)")</f>
        <v>Intermediate (3–4 days)</v>
      </c>
      <c r="L390" t="s">
        <v>12</v>
      </c>
      <c r="M390" s="2">
        <v>10</v>
      </c>
    </row>
    <row r="391" spans="1:13" x14ac:dyDescent="0.5">
      <c r="A391" t="s">
        <v>328</v>
      </c>
      <c r="B391" s="2">
        <v>37</v>
      </c>
      <c r="C391" s="2" t="str" cm="1">
        <f t="array" ref="C391">_xlfn.IFS(B391&lt;25, "Youth (16–24)", B391&lt;35, "Young Adults (25–34)", B391&lt;45, "Adults (35–44)", B391&lt;55, "Middle-aged (45–54)")</f>
        <v>Adults (35–44)</v>
      </c>
      <c r="D391" t="s">
        <v>16</v>
      </c>
      <c r="E391" s="1">
        <v>3.8</v>
      </c>
      <c r="F391" s="1" t="str" cm="1">
        <f t="array" ref="F391">_xlfn.IFS(E391&lt;3, "Low (0–3 hrs)", E391&lt;6, "Moderate (3–6 hrs)", E391&lt;8, "High (6–8 hrs)", E391&gt;=8, "Very High (8+ hrs)")</f>
        <v>Moderate (3–6 hrs)</v>
      </c>
      <c r="G391" s="2">
        <v>7</v>
      </c>
      <c r="H391" s="2">
        <v>4</v>
      </c>
      <c r="I391" s="2">
        <v>2</v>
      </c>
      <c r="J391" s="2">
        <v>3</v>
      </c>
      <c r="K391" s="2" t="str" cm="1">
        <f t="array" ref="K391">_xlfn.IFS(Table1[[#This Row],[Exercise_Frequency(week)]]&lt;3, "Beginners (0–2 days)", Table1[[#This Row],[Exercise_Frequency(week)]]&lt;5, "Intermediate (3–4 days)", Table1[[#This Row],[Exercise_Frequency(week)]]&lt;8, "Advanced (5–7 days)")</f>
        <v>Intermediate (3–4 days)</v>
      </c>
      <c r="L391" t="s">
        <v>17</v>
      </c>
      <c r="M391" s="2">
        <v>10</v>
      </c>
    </row>
    <row r="392" spans="1:13" x14ac:dyDescent="0.5">
      <c r="A392" t="s">
        <v>333</v>
      </c>
      <c r="B392" s="2">
        <v>45</v>
      </c>
      <c r="C392" s="2" t="str" cm="1">
        <f t="array" ref="C392">_xlfn.IFS(B392&lt;25, "Youth (16–24)", B392&lt;35, "Young Adults (25–34)", B392&lt;45, "Adults (35–44)", B392&lt;55, "Middle-aged (45–54)")</f>
        <v>Middle-aged (45–54)</v>
      </c>
      <c r="D392" t="s">
        <v>11</v>
      </c>
      <c r="E392" s="1">
        <v>5.2</v>
      </c>
      <c r="F392" s="1" t="str" cm="1">
        <f t="array" ref="F392">_xlfn.IFS(E392&lt;3, "Low (0–3 hrs)", E392&lt;6, "Moderate (3–6 hrs)", E392&lt;8, "High (6–8 hrs)", E392&gt;=8, "Very High (8+ hrs)")</f>
        <v>Moderate (3–6 hrs)</v>
      </c>
      <c r="G392" s="2">
        <v>7</v>
      </c>
      <c r="H392" s="2">
        <v>4</v>
      </c>
      <c r="I392" s="2">
        <v>3</v>
      </c>
      <c r="J392" s="2">
        <v>3</v>
      </c>
      <c r="K392" s="2" t="str" cm="1">
        <f t="array" ref="K392">_xlfn.IFS(Table1[[#This Row],[Exercise_Frequency(week)]]&lt;3, "Beginners (0–2 days)", Table1[[#This Row],[Exercise_Frequency(week)]]&lt;5, "Intermediate (3–4 days)", Table1[[#This Row],[Exercise_Frequency(week)]]&lt;8, "Advanced (5–7 days)")</f>
        <v>Intermediate (3–4 days)</v>
      </c>
      <c r="L392" t="s">
        <v>19</v>
      </c>
      <c r="M392" s="2">
        <v>10</v>
      </c>
    </row>
    <row r="393" spans="1:13" x14ac:dyDescent="0.5">
      <c r="A393" t="s">
        <v>364</v>
      </c>
      <c r="B393" s="2">
        <v>18</v>
      </c>
      <c r="C393" s="2" t="str" cm="1">
        <f t="array" ref="C393">_xlfn.IFS(B393&lt;25, "Youth (16–24)", B393&lt;35, "Young Adults (25–34)", B393&lt;45, "Adults (35–44)", B393&lt;55, "Middle-aged (45–54)")</f>
        <v>Youth (16–24)</v>
      </c>
      <c r="D393" t="s">
        <v>11</v>
      </c>
      <c r="E393" s="1">
        <v>3.2</v>
      </c>
      <c r="F393" s="1" t="str" cm="1">
        <f t="array" ref="F393">_xlfn.IFS(E393&lt;3, "Low (0–3 hrs)", E393&lt;6, "Moderate (3–6 hrs)", E393&lt;8, "High (6–8 hrs)", E393&gt;=8, "Very High (8+ hrs)")</f>
        <v>Moderate (3–6 hrs)</v>
      </c>
      <c r="G393" s="2">
        <v>9</v>
      </c>
      <c r="H393" s="2">
        <v>5</v>
      </c>
      <c r="I393" s="2">
        <v>1</v>
      </c>
      <c r="J393" s="2">
        <v>3</v>
      </c>
      <c r="K393" s="2" t="str" cm="1">
        <f t="array" ref="K393">_xlfn.IFS(Table1[[#This Row],[Exercise_Frequency(week)]]&lt;3, "Beginners (0–2 days)", Table1[[#This Row],[Exercise_Frequency(week)]]&lt;5, "Intermediate (3–4 days)", Table1[[#This Row],[Exercise_Frequency(week)]]&lt;8, "Advanced (5–7 days)")</f>
        <v>Intermediate (3–4 days)</v>
      </c>
      <c r="L393" t="s">
        <v>23</v>
      </c>
      <c r="M393" s="2">
        <v>10</v>
      </c>
    </row>
    <row r="394" spans="1:13" x14ac:dyDescent="0.5">
      <c r="A394" t="s">
        <v>375</v>
      </c>
      <c r="B394" s="2">
        <v>23</v>
      </c>
      <c r="C394" s="2" t="str" cm="1">
        <f t="array" ref="C394">_xlfn.IFS(B394&lt;25, "Youth (16–24)", B394&lt;35, "Young Adults (25–34)", B394&lt;45, "Adults (35–44)", B394&lt;55, "Middle-aged (45–54)")</f>
        <v>Youth (16–24)</v>
      </c>
      <c r="D394" t="s">
        <v>11</v>
      </c>
      <c r="E394" s="1">
        <v>1.5</v>
      </c>
      <c r="F394" s="1" t="str" cm="1">
        <f t="array" ref="F394">_xlfn.IFS(E394&lt;3, "Low (0–3 hrs)", E394&lt;6, "Moderate (3–6 hrs)", E394&lt;8, "High (6–8 hrs)", E394&gt;=8, "Very High (8+ hrs)")</f>
        <v>Low (0–3 hrs)</v>
      </c>
      <c r="G394" s="2">
        <v>9</v>
      </c>
      <c r="H394" s="2">
        <v>3</v>
      </c>
      <c r="I394" s="2">
        <v>2</v>
      </c>
      <c r="J394" s="2">
        <v>3</v>
      </c>
      <c r="K394" s="2" t="str" cm="1">
        <f t="array" ref="K394">_xlfn.IFS(Table1[[#This Row],[Exercise_Frequency(week)]]&lt;3, "Beginners (0–2 days)", Table1[[#This Row],[Exercise_Frequency(week)]]&lt;5, "Intermediate (3–4 days)", Table1[[#This Row],[Exercise_Frequency(week)]]&lt;8, "Advanced (5–7 days)")</f>
        <v>Intermediate (3–4 days)</v>
      </c>
      <c r="L394" t="s">
        <v>17</v>
      </c>
      <c r="M394" s="2">
        <v>10</v>
      </c>
    </row>
    <row r="395" spans="1:13" x14ac:dyDescent="0.5">
      <c r="A395" t="s">
        <v>396</v>
      </c>
      <c r="B395" s="2">
        <v>28</v>
      </c>
      <c r="C395" s="2" t="str" cm="1">
        <f t="array" ref="C395">_xlfn.IFS(B395&lt;25, "Youth (16–24)", B395&lt;35, "Young Adults (25–34)", B395&lt;45, "Adults (35–44)", B395&lt;55, "Middle-aged (45–54)")</f>
        <v>Young Adults (25–34)</v>
      </c>
      <c r="D395" t="s">
        <v>11</v>
      </c>
      <c r="E395" s="1">
        <v>3.7</v>
      </c>
      <c r="F395" s="1" t="str" cm="1">
        <f t="array" ref="F395">_xlfn.IFS(E395&lt;3, "Low (0–3 hrs)", E395&lt;6, "Moderate (3–6 hrs)", E395&lt;8, "High (6–8 hrs)", E395&gt;=8, "Very High (8+ hrs)")</f>
        <v>Moderate (3–6 hrs)</v>
      </c>
      <c r="G395" s="2">
        <v>8</v>
      </c>
      <c r="H395" s="2">
        <v>5</v>
      </c>
      <c r="I395" s="2">
        <v>4</v>
      </c>
      <c r="J395" s="2">
        <v>3</v>
      </c>
      <c r="K395" s="2" t="str" cm="1">
        <f t="array" ref="K395">_xlfn.IFS(Table1[[#This Row],[Exercise_Frequency(week)]]&lt;3, "Beginners (0–2 days)", Table1[[#This Row],[Exercise_Frequency(week)]]&lt;5, "Intermediate (3–4 days)", Table1[[#This Row],[Exercise_Frequency(week)]]&lt;8, "Advanced (5–7 days)")</f>
        <v>Intermediate (3–4 days)</v>
      </c>
      <c r="L395" t="s">
        <v>14</v>
      </c>
      <c r="M395" s="2">
        <v>10</v>
      </c>
    </row>
    <row r="396" spans="1:13" x14ac:dyDescent="0.5">
      <c r="A396" t="s">
        <v>404</v>
      </c>
      <c r="B396" s="2">
        <v>28</v>
      </c>
      <c r="C396" s="2" t="str" cm="1">
        <f t="array" ref="C396">_xlfn.IFS(B396&lt;25, "Youth (16–24)", B396&lt;35, "Young Adults (25–34)", B396&lt;45, "Adults (35–44)", B396&lt;55, "Middle-aged (45–54)")</f>
        <v>Young Adults (25–34)</v>
      </c>
      <c r="D396" t="s">
        <v>11</v>
      </c>
      <c r="E396" s="1">
        <v>2.6</v>
      </c>
      <c r="F396" s="1" t="str" cm="1">
        <f t="array" ref="F396">_xlfn.IFS(E396&lt;3, "Low (0–3 hrs)", E396&lt;6, "Moderate (3–6 hrs)", E396&lt;8, "High (6–8 hrs)", E396&gt;=8, "Very High (8+ hrs)")</f>
        <v>Low (0–3 hrs)</v>
      </c>
      <c r="G396" s="2">
        <v>10</v>
      </c>
      <c r="H396" s="2">
        <v>3</v>
      </c>
      <c r="I396" s="2">
        <v>4</v>
      </c>
      <c r="J396" s="2">
        <v>3</v>
      </c>
      <c r="K396" s="2" t="str" cm="1">
        <f t="array" ref="K396">_xlfn.IFS(Table1[[#This Row],[Exercise_Frequency(week)]]&lt;3, "Beginners (0–2 days)", Table1[[#This Row],[Exercise_Frequency(week)]]&lt;5, "Intermediate (3–4 days)", Table1[[#This Row],[Exercise_Frequency(week)]]&lt;8, "Advanced (5–7 days)")</f>
        <v>Intermediate (3–4 days)</v>
      </c>
      <c r="L396" t="s">
        <v>23</v>
      </c>
      <c r="M396" s="2">
        <v>10</v>
      </c>
    </row>
    <row r="397" spans="1:13" x14ac:dyDescent="0.5">
      <c r="A397" t="s">
        <v>408</v>
      </c>
      <c r="B397" s="2">
        <v>27</v>
      </c>
      <c r="C397" s="2" t="str" cm="1">
        <f t="array" ref="C397">_xlfn.IFS(B397&lt;25, "Youth (16–24)", B397&lt;35, "Young Adults (25–34)", B397&lt;45, "Adults (35–44)", B397&lt;55, "Middle-aged (45–54)")</f>
        <v>Young Adults (25–34)</v>
      </c>
      <c r="D397" t="s">
        <v>11</v>
      </c>
      <c r="E397" s="1">
        <v>6.5</v>
      </c>
      <c r="F397" s="1" t="str" cm="1">
        <f t="array" ref="F397">_xlfn.IFS(E397&lt;3, "Low (0–3 hrs)", E397&lt;6, "Moderate (3–6 hrs)", E397&lt;8, "High (6–8 hrs)", E397&gt;=8, "Very High (8+ hrs)")</f>
        <v>High (6–8 hrs)</v>
      </c>
      <c r="G397" s="2">
        <v>7</v>
      </c>
      <c r="H397" s="2">
        <v>7</v>
      </c>
      <c r="I397" s="2">
        <v>2</v>
      </c>
      <c r="J397" s="2">
        <v>3</v>
      </c>
      <c r="K397" s="2" t="str" cm="1">
        <f t="array" ref="K397">_xlfn.IFS(Table1[[#This Row],[Exercise_Frequency(week)]]&lt;3, "Beginners (0–2 days)", Table1[[#This Row],[Exercise_Frequency(week)]]&lt;5, "Intermediate (3–4 days)", Table1[[#This Row],[Exercise_Frequency(week)]]&lt;8, "Advanced (5–7 days)")</f>
        <v>Intermediate (3–4 days)</v>
      </c>
      <c r="L397" t="s">
        <v>12</v>
      </c>
      <c r="M397" s="2">
        <v>10</v>
      </c>
    </row>
    <row r="398" spans="1:13" x14ac:dyDescent="0.5">
      <c r="A398" t="s">
        <v>448</v>
      </c>
      <c r="B398" s="2">
        <v>34</v>
      </c>
      <c r="C398" s="2" t="str" cm="1">
        <f t="array" ref="C398">_xlfn.IFS(B398&lt;25, "Youth (16–24)", B398&lt;35, "Young Adults (25–34)", B398&lt;45, "Adults (35–44)", B398&lt;55, "Middle-aged (45–54)")</f>
        <v>Young Adults (25–34)</v>
      </c>
      <c r="D398" t="s">
        <v>16</v>
      </c>
      <c r="E398" s="1">
        <v>5.5</v>
      </c>
      <c r="F398" s="1" t="str" cm="1">
        <f t="array" ref="F398">_xlfn.IFS(E398&lt;3, "Low (0–3 hrs)", E398&lt;6, "Moderate (3–6 hrs)", E398&lt;8, "High (6–8 hrs)", E398&gt;=8, "Very High (8+ hrs)")</f>
        <v>Moderate (3–6 hrs)</v>
      </c>
      <c r="G398" s="2">
        <v>6</v>
      </c>
      <c r="H398" s="2">
        <v>5</v>
      </c>
      <c r="I398" s="2">
        <v>4</v>
      </c>
      <c r="J398" s="2">
        <v>3</v>
      </c>
      <c r="K398" s="2" t="str" cm="1">
        <f t="array" ref="K398">_xlfn.IFS(Table1[[#This Row],[Exercise_Frequency(week)]]&lt;3, "Beginners (0–2 days)", Table1[[#This Row],[Exercise_Frequency(week)]]&lt;5, "Intermediate (3–4 days)", Table1[[#This Row],[Exercise_Frequency(week)]]&lt;8, "Advanced (5–7 days)")</f>
        <v>Intermediate (3–4 days)</v>
      </c>
      <c r="L398" t="s">
        <v>12</v>
      </c>
      <c r="M398" s="2">
        <v>10</v>
      </c>
    </row>
    <row r="399" spans="1:13" x14ac:dyDescent="0.5">
      <c r="A399" t="s">
        <v>451</v>
      </c>
      <c r="B399" s="2">
        <v>41</v>
      </c>
      <c r="C399" s="2" t="str" cm="1">
        <f t="array" ref="C399">_xlfn.IFS(B399&lt;25, "Youth (16–24)", B399&lt;35, "Young Adults (25–34)", B399&lt;45, "Adults (35–44)", B399&lt;55, "Middle-aged (45–54)")</f>
        <v>Adults (35–44)</v>
      </c>
      <c r="D399" t="s">
        <v>16</v>
      </c>
      <c r="E399" s="1">
        <v>2.9</v>
      </c>
      <c r="F399" s="1" t="str" cm="1">
        <f t="array" ref="F399">_xlfn.IFS(E399&lt;3, "Low (0–3 hrs)", E399&lt;6, "Moderate (3–6 hrs)", E399&lt;8, "High (6–8 hrs)", E399&gt;=8, "Very High (8+ hrs)")</f>
        <v>Low (0–3 hrs)</v>
      </c>
      <c r="G399" s="2">
        <v>8</v>
      </c>
      <c r="H399" s="2">
        <v>3</v>
      </c>
      <c r="I399" s="2">
        <v>0</v>
      </c>
      <c r="J399" s="2">
        <v>3</v>
      </c>
      <c r="K399" s="2" t="str" cm="1">
        <f t="array" ref="K399">_xlfn.IFS(Table1[[#This Row],[Exercise_Frequency(week)]]&lt;3, "Beginners (0–2 days)", Table1[[#This Row],[Exercise_Frequency(week)]]&lt;5, "Intermediate (3–4 days)", Table1[[#This Row],[Exercise_Frequency(week)]]&lt;8, "Advanced (5–7 days)")</f>
        <v>Intermediate (3–4 days)</v>
      </c>
      <c r="L399" t="s">
        <v>13</v>
      </c>
      <c r="M399" s="2">
        <v>10</v>
      </c>
    </row>
    <row r="400" spans="1:13" x14ac:dyDescent="0.5">
      <c r="A400" t="s">
        <v>459</v>
      </c>
      <c r="B400" s="2">
        <v>16</v>
      </c>
      <c r="C400" s="2" t="str" cm="1">
        <f t="array" ref="C400">_xlfn.IFS(B400&lt;25, "Youth (16–24)", B400&lt;35, "Young Adults (25–34)", B400&lt;45, "Adults (35–44)", B400&lt;55, "Middle-aged (45–54)")</f>
        <v>Youth (16–24)</v>
      </c>
      <c r="D400" t="s">
        <v>16</v>
      </c>
      <c r="E400" s="1">
        <v>3.5</v>
      </c>
      <c r="F400" s="1" t="str" cm="1">
        <f t="array" ref="F400">_xlfn.IFS(E400&lt;3, "Low (0–3 hrs)", E400&lt;6, "Moderate (3–6 hrs)", E400&lt;8, "High (6–8 hrs)", E400&gt;=8, "Very High (8+ hrs)")</f>
        <v>Moderate (3–6 hrs)</v>
      </c>
      <c r="G400" s="2">
        <v>8</v>
      </c>
      <c r="H400" s="2">
        <v>5</v>
      </c>
      <c r="I400" s="2">
        <v>4</v>
      </c>
      <c r="J400" s="2">
        <v>3</v>
      </c>
      <c r="K400" s="2" t="str" cm="1">
        <f t="array" ref="K400">_xlfn.IFS(Table1[[#This Row],[Exercise_Frequency(week)]]&lt;3, "Beginners (0–2 days)", Table1[[#This Row],[Exercise_Frequency(week)]]&lt;5, "Intermediate (3–4 days)", Table1[[#This Row],[Exercise_Frequency(week)]]&lt;8, "Advanced (5–7 days)")</f>
        <v>Intermediate (3–4 days)</v>
      </c>
      <c r="L400" t="s">
        <v>17</v>
      </c>
      <c r="M400" s="2">
        <v>10</v>
      </c>
    </row>
    <row r="401" spans="1:13" x14ac:dyDescent="0.5">
      <c r="A401" t="s">
        <v>460</v>
      </c>
      <c r="B401" s="2">
        <v>18</v>
      </c>
      <c r="C401" s="2" t="str" cm="1">
        <f t="array" ref="C401">_xlfn.IFS(B401&lt;25, "Youth (16–24)", B401&lt;35, "Young Adults (25–34)", B401&lt;45, "Adults (35–44)", B401&lt;55, "Middle-aged (45–54)")</f>
        <v>Youth (16–24)</v>
      </c>
      <c r="D401" t="s">
        <v>11</v>
      </c>
      <c r="E401" s="1">
        <v>4.2</v>
      </c>
      <c r="F401" s="1" t="str" cm="1">
        <f t="array" ref="F401">_xlfn.IFS(E401&lt;3, "Low (0–3 hrs)", E401&lt;6, "Moderate (3–6 hrs)", E401&lt;8, "High (6–8 hrs)", E401&gt;=8, "Very High (8+ hrs)")</f>
        <v>Moderate (3–6 hrs)</v>
      </c>
      <c r="G401" s="2">
        <v>7</v>
      </c>
      <c r="H401" s="2">
        <v>7</v>
      </c>
      <c r="I401" s="2">
        <v>2</v>
      </c>
      <c r="J401" s="2">
        <v>3</v>
      </c>
      <c r="K401" s="2" t="str" cm="1">
        <f t="array" ref="K401">_xlfn.IFS(Table1[[#This Row],[Exercise_Frequency(week)]]&lt;3, "Beginners (0–2 days)", Table1[[#This Row],[Exercise_Frequency(week)]]&lt;5, "Intermediate (3–4 days)", Table1[[#This Row],[Exercise_Frequency(week)]]&lt;8, "Advanced (5–7 days)")</f>
        <v>Intermediate (3–4 days)</v>
      </c>
      <c r="L401" t="s">
        <v>17</v>
      </c>
      <c r="M401" s="2">
        <v>10</v>
      </c>
    </row>
    <row r="402" spans="1:13" x14ac:dyDescent="0.5">
      <c r="A402" t="s">
        <v>478</v>
      </c>
      <c r="B402" s="2">
        <v>18</v>
      </c>
      <c r="C402" s="2" t="str" cm="1">
        <f t="array" ref="C402">_xlfn.IFS(B402&lt;25, "Youth (16–24)", B402&lt;35, "Young Adults (25–34)", B402&lt;45, "Adults (35–44)", B402&lt;55, "Middle-aged (45–54)")</f>
        <v>Youth (16–24)</v>
      </c>
      <c r="D402" t="s">
        <v>11</v>
      </c>
      <c r="E402" s="1">
        <v>4.3</v>
      </c>
      <c r="F402" s="1" t="str" cm="1">
        <f t="array" ref="F402">_xlfn.IFS(E402&lt;3, "Low (0–3 hrs)", E402&lt;6, "Moderate (3–6 hrs)", E402&lt;8, "High (6–8 hrs)", E402&gt;=8, "Very High (8+ hrs)")</f>
        <v>Moderate (3–6 hrs)</v>
      </c>
      <c r="G402" s="2">
        <v>7</v>
      </c>
      <c r="H402" s="2">
        <v>7</v>
      </c>
      <c r="I402" s="2">
        <v>3</v>
      </c>
      <c r="J402" s="2">
        <v>3</v>
      </c>
      <c r="K402" s="2" t="str" cm="1">
        <f t="array" ref="K402">_xlfn.IFS(Table1[[#This Row],[Exercise_Frequency(week)]]&lt;3, "Beginners (0–2 days)", Table1[[#This Row],[Exercise_Frequency(week)]]&lt;5, "Intermediate (3–4 days)", Table1[[#This Row],[Exercise_Frequency(week)]]&lt;8, "Advanced (5–7 days)")</f>
        <v>Intermediate (3–4 days)</v>
      </c>
      <c r="L402" t="s">
        <v>17</v>
      </c>
      <c r="M402" s="2">
        <v>10</v>
      </c>
    </row>
    <row r="403" spans="1:13" x14ac:dyDescent="0.5">
      <c r="A403" t="s">
        <v>481</v>
      </c>
      <c r="B403" s="2">
        <v>26</v>
      </c>
      <c r="C403" s="2" t="str" cm="1">
        <f t="array" ref="C403">_xlfn.IFS(B403&lt;25, "Youth (16–24)", B403&lt;35, "Young Adults (25–34)", B403&lt;45, "Adults (35–44)", B403&lt;55, "Middle-aged (45–54)")</f>
        <v>Young Adults (25–34)</v>
      </c>
      <c r="D403" t="s">
        <v>11</v>
      </c>
      <c r="E403" s="1">
        <v>3.9</v>
      </c>
      <c r="F403" s="1" t="str" cm="1">
        <f t="array" ref="F403">_xlfn.IFS(E403&lt;3, "Low (0–3 hrs)", E403&lt;6, "Moderate (3–6 hrs)", E403&lt;8, "High (6–8 hrs)", E403&gt;=8, "Very High (8+ hrs)")</f>
        <v>Moderate (3–6 hrs)</v>
      </c>
      <c r="G403" s="2">
        <v>8</v>
      </c>
      <c r="H403" s="2">
        <v>5</v>
      </c>
      <c r="I403" s="2">
        <v>2</v>
      </c>
      <c r="J403" s="2">
        <v>3</v>
      </c>
      <c r="K403" s="2" t="str" cm="1">
        <f t="array" ref="K403">_xlfn.IFS(Table1[[#This Row],[Exercise_Frequency(week)]]&lt;3, "Beginners (0–2 days)", Table1[[#This Row],[Exercise_Frequency(week)]]&lt;5, "Intermediate (3–4 days)", Table1[[#This Row],[Exercise_Frequency(week)]]&lt;8, "Advanced (5–7 days)")</f>
        <v>Intermediate (3–4 days)</v>
      </c>
      <c r="L403" t="s">
        <v>23</v>
      </c>
      <c r="M403" s="2">
        <v>10</v>
      </c>
    </row>
    <row r="404" spans="1:13" x14ac:dyDescent="0.5">
      <c r="A404" t="s">
        <v>41</v>
      </c>
      <c r="B404" s="2">
        <v>24</v>
      </c>
      <c r="C404" s="2" t="str" cm="1">
        <f t="array" ref="C404">_xlfn.IFS(B404&lt;25, "Youth (16–24)", B404&lt;35, "Young Adults (25–34)", B404&lt;45, "Adults (35–44)", B404&lt;55, "Middle-aged (45–54)")</f>
        <v>Youth (16–24)</v>
      </c>
      <c r="D404" t="s">
        <v>11</v>
      </c>
      <c r="E404" s="1">
        <v>4.3</v>
      </c>
      <c r="F404" s="1" t="str" cm="1">
        <f t="array" ref="F404">_xlfn.IFS(E404&lt;3, "Low (0–3 hrs)", E404&lt;6, "Moderate (3–6 hrs)", E404&lt;8, "High (6–8 hrs)", E404&gt;=8, "Very High (8+ hrs)")</f>
        <v>Moderate (3–6 hrs)</v>
      </c>
      <c r="G404" s="2">
        <v>6</v>
      </c>
      <c r="H404" s="2">
        <v>6</v>
      </c>
      <c r="I404" s="2">
        <v>5</v>
      </c>
      <c r="J404" s="2">
        <v>2</v>
      </c>
      <c r="K404" s="2" t="str" cm="1">
        <f t="array" ref="K404">_xlfn.IFS(Table1[[#This Row],[Exercise_Frequency(week)]]&lt;3, "Beginners (0–2 days)", Table1[[#This Row],[Exercise_Frequency(week)]]&lt;5, "Intermediate (3–4 days)", Table1[[#This Row],[Exercise_Frequency(week)]]&lt;8, "Advanced (5–7 days)")</f>
        <v>Beginners (0–2 days)</v>
      </c>
      <c r="L404" t="s">
        <v>19</v>
      </c>
      <c r="M404" s="2">
        <v>10</v>
      </c>
    </row>
    <row r="405" spans="1:13" x14ac:dyDescent="0.5">
      <c r="A405" t="s">
        <v>45</v>
      </c>
      <c r="B405" s="2">
        <v>29</v>
      </c>
      <c r="C405" s="2" t="str" cm="1">
        <f t="array" ref="C405">_xlfn.IFS(B405&lt;25, "Youth (16–24)", B405&lt;35, "Young Adults (25–34)", B405&lt;45, "Adults (35–44)", B405&lt;55, "Middle-aged (45–54)")</f>
        <v>Young Adults (25–34)</v>
      </c>
      <c r="D405" t="s">
        <v>16</v>
      </c>
      <c r="E405" s="1">
        <v>3.1</v>
      </c>
      <c r="F405" s="1" t="str" cm="1">
        <f t="array" ref="F405">_xlfn.IFS(E405&lt;3, "Low (0–3 hrs)", E405&lt;6, "Moderate (3–6 hrs)", E405&lt;8, "High (6–8 hrs)", E405&gt;=8, "Very High (8+ hrs)")</f>
        <v>Moderate (3–6 hrs)</v>
      </c>
      <c r="G405" s="2">
        <v>8</v>
      </c>
      <c r="H405" s="2">
        <v>4</v>
      </c>
      <c r="I405" s="2">
        <v>2</v>
      </c>
      <c r="J405" s="2">
        <v>2</v>
      </c>
      <c r="K405" s="2" t="str" cm="1">
        <f t="array" ref="K405">_xlfn.IFS(Table1[[#This Row],[Exercise_Frequency(week)]]&lt;3, "Beginners (0–2 days)", Table1[[#This Row],[Exercise_Frequency(week)]]&lt;5, "Intermediate (3–4 days)", Table1[[#This Row],[Exercise_Frequency(week)]]&lt;8, "Advanced (5–7 days)")</f>
        <v>Beginners (0–2 days)</v>
      </c>
      <c r="L405" t="s">
        <v>13</v>
      </c>
      <c r="M405" s="2">
        <v>10</v>
      </c>
    </row>
    <row r="406" spans="1:13" x14ac:dyDescent="0.5">
      <c r="A406" t="s">
        <v>60</v>
      </c>
      <c r="B406" s="2">
        <v>29</v>
      </c>
      <c r="C406" s="2" t="str" cm="1">
        <f t="array" ref="C406">_xlfn.IFS(B406&lt;25, "Youth (16–24)", B406&lt;35, "Young Adults (25–34)", B406&lt;45, "Adults (35–44)", B406&lt;55, "Middle-aged (45–54)")</f>
        <v>Young Adults (25–34)</v>
      </c>
      <c r="D406" t="s">
        <v>16</v>
      </c>
      <c r="E406" s="1">
        <v>3.3</v>
      </c>
      <c r="F406" s="1" t="str" cm="1">
        <f t="array" ref="F406">_xlfn.IFS(E406&lt;3, "Low (0–3 hrs)", E406&lt;6, "Moderate (3–6 hrs)", E406&lt;8, "High (6–8 hrs)", E406&gt;=8, "Very High (8+ hrs)")</f>
        <v>Moderate (3–6 hrs)</v>
      </c>
      <c r="G406" s="2">
        <v>7</v>
      </c>
      <c r="H406" s="2">
        <v>5</v>
      </c>
      <c r="I406" s="2">
        <v>1</v>
      </c>
      <c r="J406" s="2">
        <v>2</v>
      </c>
      <c r="K406" s="2" t="str" cm="1">
        <f t="array" ref="K406">_xlfn.IFS(Table1[[#This Row],[Exercise_Frequency(week)]]&lt;3, "Beginners (0–2 days)", Table1[[#This Row],[Exercise_Frequency(week)]]&lt;5, "Intermediate (3–4 days)", Table1[[#This Row],[Exercise_Frequency(week)]]&lt;8, "Advanced (5–7 days)")</f>
        <v>Beginners (0–2 days)</v>
      </c>
      <c r="L406" t="s">
        <v>14</v>
      </c>
      <c r="M406" s="2">
        <v>10</v>
      </c>
    </row>
    <row r="407" spans="1:13" x14ac:dyDescent="0.5">
      <c r="A407" t="s">
        <v>93</v>
      </c>
      <c r="B407" s="2">
        <v>39</v>
      </c>
      <c r="C407" s="2" t="str" cm="1">
        <f t="array" ref="C407">_xlfn.IFS(B407&lt;25, "Youth (16–24)", B407&lt;35, "Young Adults (25–34)", B407&lt;45, "Adults (35–44)", B407&lt;55, "Middle-aged (45–54)")</f>
        <v>Adults (35–44)</v>
      </c>
      <c r="D407" t="s">
        <v>11</v>
      </c>
      <c r="E407" s="1">
        <v>2.4</v>
      </c>
      <c r="F407" s="1" t="str" cm="1">
        <f t="array" ref="F407">_xlfn.IFS(E407&lt;3, "Low (0–3 hrs)", E407&lt;6, "Moderate (3–6 hrs)", E407&lt;8, "High (6–8 hrs)", E407&gt;=8, "Very High (8+ hrs)")</f>
        <v>Low (0–3 hrs)</v>
      </c>
      <c r="G407" s="2">
        <v>7</v>
      </c>
      <c r="H407" s="2">
        <v>4</v>
      </c>
      <c r="I407" s="2">
        <v>4</v>
      </c>
      <c r="J407" s="2">
        <v>2</v>
      </c>
      <c r="K407" s="2" t="str" cm="1">
        <f t="array" ref="K407">_xlfn.IFS(Table1[[#This Row],[Exercise_Frequency(week)]]&lt;3, "Beginners (0–2 days)", Table1[[#This Row],[Exercise_Frequency(week)]]&lt;5, "Intermediate (3–4 days)", Table1[[#This Row],[Exercise_Frequency(week)]]&lt;8, "Advanced (5–7 days)")</f>
        <v>Beginners (0–2 days)</v>
      </c>
      <c r="L407" t="s">
        <v>12</v>
      </c>
      <c r="M407" s="2">
        <v>10</v>
      </c>
    </row>
    <row r="408" spans="1:13" x14ac:dyDescent="0.5">
      <c r="A408" t="s">
        <v>122</v>
      </c>
      <c r="B408" s="2">
        <v>21</v>
      </c>
      <c r="C408" s="2" t="str" cm="1">
        <f t="array" ref="C408">_xlfn.IFS(B408&lt;25, "Youth (16–24)", B408&lt;35, "Young Adults (25–34)", B408&lt;45, "Adults (35–44)", B408&lt;55, "Middle-aged (45–54)")</f>
        <v>Youth (16–24)</v>
      </c>
      <c r="D408" t="s">
        <v>16</v>
      </c>
      <c r="E408" s="1">
        <v>4</v>
      </c>
      <c r="F408" s="1" t="str" cm="1">
        <f t="array" ref="F408">_xlfn.IFS(E408&lt;3, "Low (0–3 hrs)", E408&lt;6, "Moderate (3–6 hrs)", E408&lt;8, "High (6–8 hrs)", E408&gt;=8, "Very High (8+ hrs)")</f>
        <v>Moderate (3–6 hrs)</v>
      </c>
      <c r="G408" s="2">
        <v>9</v>
      </c>
      <c r="H408" s="2">
        <v>5</v>
      </c>
      <c r="I408" s="2">
        <v>3</v>
      </c>
      <c r="J408" s="2">
        <v>2</v>
      </c>
      <c r="K408" s="2" t="str" cm="1">
        <f t="array" ref="K408">_xlfn.IFS(Table1[[#This Row],[Exercise_Frequency(week)]]&lt;3, "Beginners (0–2 days)", Table1[[#This Row],[Exercise_Frequency(week)]]&lt;5, "Intermediate (3–4 days)", Table1[[#This Row],[Exercise_Frequency(week)]]&lt;8, "Advanced (5–7 days)")</f>
        <v>Beginners (0–2 days)</v>
      </c>
      <c r="L408" t="s">
        <v>19</v>
      </c>
      <c r="M408" s="2">
        <v>10</v>
      </c>
    </row>
    <row r="409" spans="1:13" x14ac:dyDescent="0.5">
      <c r="A409" t="s">
        <v>128</v>
      </c>
      <c r="B409" s="2">
        <v>43</v>
      </c>
      <c r="C409" s="2" t="str" cm="1">
        <f t="array" ref="C409">_xlfn.IFS(B409&lt;25, "Youth (16–24)", B409&lt;35, "Young Adults (25–34)", B409&lt;45, "Adults (35–44)", B409&lt;55, "Middle-aged (45–54)")</f>
        <v>Adults (35–44)</v>
      </c>
      <c r="D409" t="s">
        <v>16</v>
      </c>
      <c r="E409" s="1">
        <v>5.5</v>
      </c>
      <c r="F409" s="1" t="str" cm="1">
        <f t="array" ref="F409">_xlfn.IFS(E409&lt;3, "Low (0–3 hrs)", E409&lt;6, "Moderate (3–6 hrs)", E409&lt;8, "High (6–8 hrs)", E409&gt;=8, "Very High (8+ hrs)")</f>
        <v>Moderate (3–6 hrs)</v>
      </c>
      <c r="G409" s="2">
        <v>8</v>
      </c>
      <c r="H409" s="2">
        <v>6</v>
      </c>
      <c r="I409" s="2">
        <v>5</v>
      </c>
      <c r="J409" s="2">
        <v>2</v>
      </c>
      <c r="K409" s="2" t="str" cm="1">
        <f t="array" ref="K409">_xlfn.IFS(Table1[[#This Row],[Exercise_Frequency(week)]]&lt;3, "Beginners (0–2 days)", Table1[[#This Row],[Exercise_Frequency(week)]]&lt;5, "Intermediate (3–4 days)", Table1[[#This Row],[Exercise_Frequency(week)]]&lt;8, "Advanced (5–7 days)")</f>
        <v>Beginners (0–2 days)</v>
      </c>
      <c r="L409" t="s">
        <v>17</v>
      </c>
      <c r="M409" s="2">
        <v>10</v>
      </c>
    </row>
    <row r="410" spans="1:13" x14ac:dyDescent="0.5">
      <c r="A410" t="s">
        <v>147</v>
      </c>
      <c r="B410" s="2">
        <v>18</v>
      </c>
      <c r="C410" s="2" t="str" cm="1">
        <f t="array" ref="C410">_xlfn.IFS(B410&lt;25, "Youth (16–24)", B410&lt;35, "Young Adults (25–34)", B410&lt;45, "Adults (35–44)", B410&lt;55, "Middle-aged (45–54)")</f>
        <v>Youth (16–24)</v>
      </c>
      <c r="D410" t="s">
        <v>11</v>
      </c>
      <c r="E410" s="1">
        <v>4.8</v>
      </c>
      <c r="F410" s="1" t="str" cm="1">
        <f t="array" ref="F410">_xlfn.IFS(E410&lt;3, "Low (0–3 hrs)", E410&lt;6, "Moderate (3–6 hrs)", E410&lt;8, "High (6–8 hrs)", E410&gt;=8, "Very High (8+ hrs)")</f>
        <v>Moderate (3–6 hrs)</v>
      </c>
      <c r="G410" s="2">
        <v>6</v>
      </c>
      <c r="H410" s="2">
        <v>5</v>
      </c>
      <c r="I410" s="2">
        <v>1</v>
      </c>
      <c r="J410" s="2">
        <v>2</v>
      </c>
      <c r="K410" s="2" t="str" cm="1">
        <f t="array" ref="K410">_xlfn.IFS(Table1[[#This Row],[Exercise_Frequency(week)]]&lt;3, "Beginners (0–2 days)", Table1[[#This Row],[Exercise_Frequency(week)]]&lt;5, "Intermediate (3–4 days)", Table1[[#This Row],[Exercise_Frequency(week)]]&lt;8, "Advanced (5–7 days)")</f>
        <v>Beginners (0–2 days)</v>
      </c>
      <c r="L410" t="s">
        <v>12</v>
      </c>
      <c r="M410" s="2">
        <v>10</v>
      </c>
    </row>
    <row r="411" spans="1:13" x14ac:dyDescent="0.5">
      <c r="A411" t="s">
        <v>155</v>
      </c>
      <c r="B411" s="2">
        <v>16</v>
      </c>
      <c r="C411" s="2" t="str" cm="1">
        <f t="array" ref="C411">_xlfn.IFS(B411&lt;25, "Youth (16–24)", B411&lt;35, "Young Adults (25–34)", B411&lt;45, "Adults (35–44)", B411&lt;55, "Middle-aged (45–54)")</f>
        <v>Youth (16–24)</v>
      </c>
      <c r="D411" t="s">
        <v>16</v>
      </c>
      <c r="E411" s="1">
        <v>5.3</v>
      </c>
      <c r="F411" s="1" t="str" cm="1">
        <f t="array" ref="F411">_xlfn.IFS(E411&lt;3, "Low (0–3 hrs)", E411&lt;6, "Moderate (3–6 hrs)", E411&lt;8, "High (6–8 hrs)", E411&gt;=8, "Very High (8+ hrs)")</f>
        <v>Moderate (3–6 hrs)</v>
      </c>
      <c r="G411" s="2">
        <v>7</v>
      </c>
      <c r="H411" s="2">
        <v>6</v>
      </c>
      <c r="I411" s="2">
        <v>3</v>
      </c>
      <c r="J411" s="2">
        <v>2</v>
      </c>
      <c r="K411" s="2" t="str" cm="1">
        <f t="array" ref="K411">_xlfn.IFS(Table1[[#This Row],[Exercise_Frequency(week)]]&lt;3, "Beginners (0–2 days)", Table1[[#This Row],[Exercise_Frequency(week)]]&lt;5, "Intermediate (3–4 days)", Table1[[#This Row],[Exercise_Frequency(week)]]&lt;8, "Advanced (5–7 days)")</f>
        <v>Beginners (0–2 days)</v>
      </c>
      <c r="L411" t="s">
        <v>12</v>
      </c>
      <c r="M411" s="2">
        <v>10</v>
      </c>
    </row>
    <row r="412" spans="1:13" x14ac:dyDescent="0.5">
      <c r="A412" t="s">
        <v>174</v>
      </c>
      <c r="B412" s="2">
        <v>31</v>
      </c>
      <c r="C412" s="2" t="str" cm="1">
        <f t="array" ref="C412">_xlfn.IFS(B412&lt;25, "Youth (16–24)", B412&lt;35, "Young Adults (25–34)", B412&lt;45, "Adults (35–44)", B412&lt;55, "Middle-aged (45–54)")</f>
        <v>Young Adults (25–34)</v>
      </c>
      <c r="D412" t="s">
        <v>11</v>
      </c>
      <c r="E412" s="1">
        <v>4.2</v>
      </c>
      <c r="F412" s="1" t="str" cm="1">
        <f t="array" ref="F412">_xlfn.IFS(E412&lt;3, "Low (0–3 hrs)", E412&lt;6, "Moderate (3–6 hrs)", E412&lt;8, "High (6–8 hrs)", E412&gt;=8, "Very High (8+ hrs)")</f>
        <v>Moderate (3–6 hrs)</v>
      </c>
      <c r="G412" s="2">
        <v>8</v>
      </c>
      <c r="H412" s="2">
        <v>6</v>
      </c>
      <c r="I412" s="2">
        <v>3</v>
      </c>
      <c r="J412" s="2">
        <v>2</v>
      </c>
      <c r="K412" s="2" t="str" cm="1">
        <f t="array" ref="K412">_xlfn.IFS(Table1[[#This Row],[Exercise_Frequency(week)]]&lt;3, "Beginners (0–2 days)", Table1[[#This Row],[Exercise_Frequency(week)]]&lt;5, "Intermediate (3–4 days)", Table1[[#This Row],[Exercise_Frequency(week)]]&lt;8, "Advanced (5–7 days)")</f>
        <v>Beginners (0–2 days)</v>
      </c>
      <c r="L412" t="s">
        <v>23</v>
      </c>
      <c r="M412" s="2">
        <v>10</v>
      </c>
    </row>
    <row r="413" spans="1:13" x14ac:dyDescent="0.5">
      <c r="A413" t="s">
        <v>175</v>
      </c>
      <c r="B413" s="2">
        <v>44</v>
      </c>
      <c r="C413" s="2" t="str" cm="1">
        <f t="array" ref="C413">_xlfn.IFS(B413&lt;25, "Youth (16–24)", B413&lt;35, "Young Adults (25–34)", B413&lt;45, "Adults (35–44)", B413&lt;55, "Middle-aged (45–54)")</f>
        <v>Adults (35–44)</v>
      </c>
      <c r="D413" t="s">
        <v>11</v>
      </c>
      <c r="E413" s="1">
        <v>4.3</v>
      </c>
      <c r="F413" s="1" t="str" cm="1">
        <f t="array" ref="F413">_xlfn.IFS(E413&lt;3, "Low (0–3 hrs)", E413&lt;6, "Moderate (3–6 hrs)", E413&lt;8, "High (6–8 hrs)", E413&gt;=8, "Very High (8+ hrs)")</f>
        <v>Moderate (3–6 hrs)</v>
      </c>
      <c r="G413" s="2">
        <v>8</v>
      </c>
      <c r="H413" s="2">
        <v>6</v>
      </c>
      <c r="I413" s="2">
        <v>6</v>
      </c>
      <c r="J413" s="2">
        <v>2</v>
      </c>
      <c r="K413" s="2" t="str" cm="1">
        <f t="array" ref="K413">_xlfn.IFS(Table1[[#This Row],[Exercise_Frequency(week)]]&lt;3, "Beginners (0–2 days)", Table1[[#This Row],[Exercise_Frequency(week)]]&lt;5, "Intermediate (3–4 days)", Table1[[#This Row],[Exercise_Frequency(week)]]&lt;8, "Advanced (5–7 days)")</f>
        <v>Beginners (0–2 days)</v>
      </c>
      <c r="L413" t="s">
        <v>23</v>
      </c>
      <c r="M413" s="2">
        <v>10</v>
      </c>
    </row>
    <row r="414" spans="1:13" x14ac:dyDescent="0.5">
      <c r="A414" t="s">
        <v>186</v>
      </c>
      <c r="B414" s="2">
        <v>26</v>
      </c>
      <c r="C414" s="2" t="str" cm="1">
        <f t="array" ref="C414">_xlfn.IFS(B414&lt;25, "Youth (16–24)", B414&lt;35, "Young Adults (25–34)", B414&lt;45, "Adults (35–44)", B414&lt;55, "Middle-aged (45–54)")</f>
        <v>Young Adults (25–34)</v>
      </c>
      <c r="D414" t="s">
        <v>16</v>
      </c>
      <c r="E414" s="1">
        <v>3.8</v>
      </c>
      <c r="F414" s="1" t="str" cm="1">
        <f t="array" ref="F414">_xlfn.IFS(E414&lt;3, "Low (0–3 hrs)", E414&lt;6, "Moderate (3–6 hrs)", E414&lt;8, "High (6–8 hrs)", E414&gt;=8, "Very High (8+ hrs)")</f>
        <v>Moderate (3–6 hrs)</v>
      </c>
      <c r="G414" s="2">
        <v>10</v>
      </c>
      <c r="H414" s="2">
        <v>6</v>
      </c>
      <c r="I414" s="2">
        <v>5</v>
      </c>
      <c r="J414" s="2">
        <v>2</v>
      </c>
      <c r="K414" s="2" t="str" cm="1">
        <f t="array" ref="K414">_xlfn.IFS(Table1[[#This Row],[Exercise_Frequency(week)]]&lt;3, "Beginners (0–2 days)", Table1[[#This Row],[Exercise_Frequency(week)]]&lt;5, "Intermediate (3–4 days)", Table1[[#This Row],[Exercise_Frequency(week)]]&lt;8, "Advanced (5–7 days)")</f>
        <v>Beginners (0–2 days)</v>
      </c>
      <c r="L414" t="s">
        <v>13</v>
      </c>
      <c r="M414" s="2">
        <v>10</v>
      </c>
    </row>
    <row r="415" spans="1:13" x14ac:dyDescent="0.5">
      <c r="A415" t="s">
        <v>209</v>
      </c>
      <c r="B415" s="2">
        <v>23</v>
      </c>
      <c r="C415" s="2" t="str" cm="1">
        <f t="array" ref="C415">_xlfn.IFS(B415&lt;25, "Youth (16–24)", B415&lt;35, "Young Adults (25–34)", B415&lt;45, "Adults (35–44)", B415&lt;55, "Middle-aged (45–54)")</f>
        <v>Youth (16–24)</v>
      </c>
      <c r="D415" t="s">
        <v>11</v>
      </c>
      <c r="E415" s="1">
        <v>3.5</v>
      </c>
      <c r="F415" s="1" t="str" cm="1">
        <f t="array" ref="F415">_xlfn.IFS(E415&lt;3, "Low (0–3 hrs)", E415&lt;6, "Moderate (3–6 hrs)", E415&lt;8, "High (6–8 hrs)", E415&gt;=8, "Very High (8+ hrs)")</f>
        <v>Moderate (3–6 hrs)</v>
      </c>
      <c r="G415" s="2">
        <v>9</v>
      </c>
      <c r="H415" s="2">
        <v>5</v>
      </c>
      <c r="I415" s="2">
        <v>4</v>
      </c>
      <c r="J415" s="2">
        <v>2</v>
      </c>
      <c r="K415" s="2" t="str" cm="1">
        <f t="array" ref="K415">_xlfn.IFS(Table1[[#This Row],[Exercise_Frequency(week)]]&lt;3, "Beginners (0–2 days)", Table1[[#This Row],[Exercise_Frequency(week)]]&lt;5, "Intermediate (3–4 days)", Table1[[#This Row],[Exercise_Frequency(week)]]&lt;8, "Advanced (5–7 days)")</f>
        <v>Beginners (0–2 days)</v>
      </c>
      <c r="L415" t="s">
        <v>12</v>
      </c>
      <c r="M415" s="2">
        <v>10</v>
      </c>
    </row>
    <row r="416" spans="1:13" x14ac:dyDescent="0.5">
      <c r="A416" t="s">
        <v>246</v>
      </c>
      <c r="B416" s="2">
        <v>44</v>
      </c>
      <c r="C416" s="2" t="str" cm="1">
        <f t="array" ref="C416">_xlfn.IFS(B416&lt;25, "Youth (16–24)", B416&lt;35, "Young Adults (25–34)", B416&lt;45, "Adults (35–44)", B416&lt;55, "Middle-aged (45–54)")</f>
        <v>Adults (35–44)</v>
      </c>
      <c r="D416" t="s">
        <v>11</v>
      </c>
      <c r="E416" s="1">
        <v>3.6</v>
      </c>
      <c r="F416" s="1" t="str" cm="1">
        <f t="array" ref="F416">_xlfn.IFS(E416&lt;3, "Low (0–3 hrs)", E416&lt;6, "Moderate (3–6 hrs)", E416&lt;8, "High (6–8 hrs)", E416&gt;=8, "Very High (8+ hrs)")</f>
        <v>Moderate (3–6 hrs)</v>
      </c>
      <c r="G416" s="2">
        <v>8</v>
      </c>
      <c r="H416" s="2">
        <v>5</v>
      </c>
      <c r="I416" s="2">
        <v>0</v>
      </c>
      <c r="J416" s="2">
        <v>2</v>
      </c>
      <c r="K416" s="2" t="str" cm="1">
        <f t="array" ref="K416">_xlfn.IFS(Table1[[#This Row],[Exercise_Frequency(week)]]&lt;3, "Beginners (0–2 days)", Table1[[#This Row],[Exercise_Frequency(week)]]&lt;5, "Intermediate (3–4 days)", Table1[[#This Row],[Exercise_Frequency(week)]]&lt;8, "Advanced (5–7 days)")</f>
        <v>Beginners (0–2 days)</v>
      </c>
      <c r="L416" t="s">
        <v>19</v>
      </c>
      <c r="M416" s="2">
        <v>10</v>
      </c>
    </row>
    <row r="417" spans="1:13" x14ac:dyDescent="0.5">
      <c r="A417" t="s">
        <v>268</v>
      </c>
      <c r="B417" s="2">
        <v>41</v>
      </c>
      <c r="C417" s="2" t="str" cm="1">
        <f t="array" ref="C417">_xlfn.IFS(B417&lt;25, "Youth (16–24)", B417&lt;35, "Young Adults (25–34)", B417&lt;45, "Adults (35–44)", B417&lt;55, "Middle-aged (45–54)")</f>
        <v>Adults (35–44)</v>
      </c>
      <c r="D417" t="s">
        <v>16</v>
      </c>
      <c r="E417" s="1">
        <v>2.6</v>
      </c>
      <c r="F417" s="1" t="str" cm="1">
        <f t="array" ref="F417">_xlfn.IFS(E417&lt;3, "Low (0–3 hrs)", E417&lt;6, "Moderate (3–6 hrs)", E417&lt;8, "High (6–8 hrs)", E417&gt;=8, "Very High (8+ hrs)")</f>
        <v>Low (0–3 hrs)</v>
      </c>
      <c r="G417" s="2">
        <v>8</v>
      </c>
      <c r="H417" s="2">
        <v>4</v>
      </c>
      <c r="I417" s="2">
        <v>2</v>
      </c>
      <c r="J417" s="2">
        <v>2</v>
      </c>
      <c r="K417" s="2" t="str" cm="1">
        <f t="array" ref="K417">_xlfn.IFS(Table1[[#This Row],[Exercise_Frequency(week)]]&lt;3, "Beginners (0–2 days)", Table1[[#This Row],[Exercise_Frequency(week)]]&lt;5, "Intermediate (3–4 days)", Table1[[#This Row],[Exercise_Frequency(week)]]&lt;8, "Advanced (5–7 days)")</f>
        <v>Beginners (0–2 days)</v>
      </c>
      <c r="L417" t="s">
        <v>19</v>
      </c>
      <c r="M417" s="2">
        <v>10</v>
      </c>
    </row>
    <row r="418" spans="1:13" x14ac:dyDescent="0.5">
      <c r="A418" t="s">
        <v>271</v>
      </c>
      <c r="B418" s="2">
        <v>24</v>
      </c>
      <c r="C418" s="2" t="str" cm="1">
        <f t="array" ref="C418">_xlfn.IFS(B418&lt;25, "Youth (16–24)", B418&lt;35, "Young Adults (25–34)", B418&lt;45, "Adults (35–44)", B418&lt;55, "Middle-aged (45–54)")</f>
        <v>Youth (16–24)</v>
      </c>
      <c r="D418" t="s">
        <v>16</v>
      </c>
      <c r="E418" s="1">
        <v>5.8</v>
      </c>
      <c r="F418" s="1" t="str" cm="1">
        <f t="array" ref="F418">_xlfn.IFS(E418&lt;3, "Low (0–3 hrs)", E418&lt;6, "Moderate (3–6 hrs)", E418&lt;8, "High (6–8 hrs)", E418&gt;=8, "Very High (8+ hrs)")</f>
        <v>Moderate (3–6 hrs)</v>
      </c>
      <c r="G418" s="2">
        <v>8</v>
      </c>
      <c r="H418" s="2">
        <v>6</v>
      </c>
      <c r="I418" s="2">
        <v>1</v>
      </c>
      <c r="J418" s="2">
        <v>2</v>
      </c>
      <c r="K418" s="2" t="str" cm="1">
        <f t="array" ref="K418">_xlfn.IFS(Table1[[#This Row],[Exercise_Frequency(week)]]&lt;3, "Beginners (0–2 days)", Table1[[#This Row],[Exercise_Frequency(week)]]&lt;5, "Intermediate (3–4 days)", Table1[[#This Row],[Exercise_Frequency(week)]]&lt;8, "Advanced (5–7 days)")</f>
        <v>Beginners (0–2 days)</v>
      </c>
      <c r="L418" t="s">
        <v>14</v>
      </c>
      <c r="M418" s="2">
        <v>10</v>
      </c>
    </row>
    <row r="419" spans="1:13" x14ac:dyDescent="0.5">
      <c r="A419" t="s">
        <v>277</v>
      </c>
      <c r="B419" s="2">
        <v>22</v>
      </c>
      <c r="C419" s="2" t="str" cm="1">
        <f t="array" ref="C419">_xlfn.IFS(B419&lt;25, "Youth (16–24)", B419&lt;35, "Young Adults (25–34)", B419&lt;45, "Adults (35–44)", B419&lt;55, "Middle-aged (45–54)")</f>
        <v>Youth (16–24)</v>
      </c>
      <c r="D419" t="s">
        <v>11</v>
      </c>
      <c r="E419" s="1">
        <v>4.3</v>
      </c>
      <c r="F419" s="1" t="str" cm="1">
        <f t="array" ref="F419">_xlfn.IFS(E419&lt;3, "Low (0–3 hrs)", E419&lt;6, "Moderate (3–6 hrs)", E419&lt;8, "High (6–8 hrs)", E419&gt;=8, "Very High (8+ hrs)")</f>
        <v>Moderate (3–6 hrs)</v>
      </c>
      <c r="G419" s="2">
        <v>7</v>
      </c>
      <c r="H419" s="2">
        <v>5</v>
      </c>
      <c r="I419" s="2">
        <v>4</v>
      </c>
      <c r="J419" s="2">
        <v>2</v>
      </c>
      <c r="K419" s="2" t="str" cm="1">
        <f t="array" ref="K419">_xlfn.IFS(Table1[[#This Row],[Exercise_Frequency(week)]]&lt;3, "Beginners (0–2 days)", Table1[[#This Row],[Exercise_Frequency(week)]]&lt;5, "Intermediate (3–4 days)", Table1[[#This Row],[Exercise_Frequency(week)]]&lt;8, "Advanced (5–7 days)")</f>
        <v>Beginners (0–2 days)</v>
      </c>
      <c r="L419" t="s">
        <v>19</v>
      </c>
      <c r="M419" s="2">
        <v>10</v>
      </c>
    </row>
    <row r="420" spans="1:13" x14ac:dyDescent="0.5">
      <c r="A420" t="s">
        <v>286</v>
      </c>
      <c r="B420" s="2">
        <v>43</v>
      </c>
      <c r="C420" s="2" t="str" cm="1">
        <f t="array" ref="C420">_xlfn.IFS(B420&lt;25, "Youth (16–24)", B420&lt;35, "Young Adults (25–34)", B420&lt;45, "Adults (35–44)", B420&lt;55, "Middle-aged (45–54)")</f>
        <v>Adults (35–44)</v>
      </c>
      <c r="D420" t="s">
        <v>16</v>
      </c>
      <c r="E420" s="1">
        <v>3.4</v>
      </c>
      <c r="F420" s="1" t="str" cm="1">
        <f t="array" ref="F420">_xlfn.IFS(E420&lt;3, "Low (0–3 hrs)", E420&lt;6, "Moderate (3–6 hrs)", E420&lt;8, "High (6–8 hrs)", E420&gt;=8, "Very High (8+ hrs)")</f>
        <v>Moderate (3–6 hrs)</v>
      </c>
      <c r="G420" s="2">
        <v>7</v>
      </c>
      <c r="H420" s="2">
        <v>7</v>
      </c>
      <c r="I420" s="2">
        <v>4</v>
      </c>
      <c r="J420" s="2">
        <v>2</v>
      </c>
      <c r="K420" s="2" t="str" cm="1">
        <f t="array" ref="K420">_xlfn.IFS(Table1[[#This Row],[Exercise_Frequency(week)]]&lt;3, "Beginners (0–2 days)", Table1[[#This Row],[Exercise_Frequency(week)]]&lt;5, "Intermediate (3–4 days)", Table1[[#This Row],[Exercise_Frequency(week)]]&lt;8, "Advanced (5–7 days)")</f>
        <v>Beginners (0–2 days)</v>
      </c>
      <c r="L420" t="s">
        <v>19</v>
      </c>
      <c r="M420" s="2">
        <v>10</v>
      </c>
    </row>
    <row r="421" spans="1:13" x14ac:dyDescent="0.5">
      <c r="A421" t="s">
        <v>294</v>
      </c>
      <c r="B421" s="2">
        <v>21</v>
      </c>
      <c r="C421" s="2" t="str" cm="1">
        <f t="array" ref="C421">_xlfn.IFS(B421&lt;25, "Youth (16–24)", B421&lt;35, "Young Adults (25–34)", B421&lt;45, "Adults (35–44)", B421&lt;55, "Middle-aged (45–54)")</f>
        <v>Youth (16–24)</v>
      </c>
      <c r="D421" t="s">
        <v>11</v>
      </c>
      <c r="E421" s="1">
        <v>5</v>
      </c>
      <c r="F421" s="1" t="str" cm="1">
        <f t="array" ref="F421">_xlfn.IFS(E421&lt;3, "Low (0–3 hrs)", E421&lt;6, "Moderate (3–6 hrs)", E421&lt;8, "High (6–8 hrs)", E421&gt;=8, "Very High (8+ hrs)")</f>
        <v>Moderate (3–6 hrs)</v>
      </c>
      <c r="G421" s="2">
        <v>7</v>
      </c>
      <c r="H421" s="2">
        <v>6</v>
      </c>
      <c r="I421" s="2">
        <v>5</v>
      </c>
      <c r="J421" s="2">
        <v>2</v>
      </c>
      <c r="K421" s="2" t="str" cm="1">
        <f t="array" ref="K421">_xlfn.IFS(Table1[[#This Row],[Exercise_Frequency(week)]]&lt;3, "Beginners (0–2 days)", Table1[[#This Row],[Exercise_Frequency(week)]]&lt;5, "Intermediate (3–4 days)", Table1[[#This Row],[Exercise_Frequency(week)]]&lt;8, "Advanced (5–7 days)")</f>
        <v>Beginners (0–2 days)</v>
      </c>
      <c r="L421" t="s">
        <v>19</v>
      </c>
      <c r="M421" s="2">
        <v>10</v>
      </c>
    </row>
    <row r="422" spans="1:13" x14ac:dyDescent="0.5">
      <c r="A422" t="s">
        <v>300</v>
      </c>
      <c r="B422" s="2">
        <v>21</v>
      </c>
      <c r="C422" s="2" t="str" cm="1">
        <f t="array" ref="C422">_xlfn.IFS(B422&lt;25, "Youth (16–24)", B422&lt;35, "Young Adults (25–34)", B422&lt;45, "Adults (35–44)", B422&lt;55, "Middle-aged (45–54)")</f>
        <v>Youth (16–24)</v>
      </c>
      <c r="D422" t="s">
        <v>16</v>
      </c>
      <c r="E422" s="1">
        <v>3</v>
      </c>
      <c r="F422" s="1" t="str" cm="1">
        <f t="array" ref="F422">_xlfn.IFS(E422&lt;3, "Low (0–3 hrs)", E422&lt;6, "Moderate (3–6 hrs)", E422&lt;8, "High (6–8 hrs)", E422&gt;=8, "Very High (8+ hrs)")</f>
        <v>Moderate (3–6 hrs)</v>
      </c>
      <c r="G422" s="2">
        <v>8</v>
      </c>
      <c r="H422" s="2">
        <v>5</v>
      </c>
      <c r="I422" s="2">
        <v>3</v>
      </c>
      <c r="J422" s="2">
        <v>2</v>
      </c>
      <c r="K422" s="2" t="str" cm="1">
        <f t="array" ref="K422">_xlfn.IFS(Table1[[#This Row],[Exercise_Frequency(week)]]&lt;3, "Beginners (0–2 days)", Table1[[#This Row],[Exercise_Frequency(week)]]&lt;5, "Intermediate (3–4 days)", Table1[[#This Row],[Exercise_Frequency(week)]]&lt;8, "Advanced (5–7 days)")</f>
        <v>Beginners (0–2 days)</v>
      </c>
      <c r="L422" t="s">
        <v>13</v>
      </c>
      <c r="M422" s="2">
        <v>10</v>
      </c>
    </row>
    <row r="423" spans="1:13" x14ac:dyDescent="0.5">
      <c r="A423" t="s">
        <v>306</v>
      </c>
      <c r="B423" s="2">
        <v>34</v>
      </c>
      <c r="C423" s="2" t="str" cm="1">
        <f t="array" ref="C423">_xlfn.IFS(B423&lt;25, "Youth (16–24)", B423&lt;35, "Young Adults (25–34)", B423&lt;45, "Adults (35–44)", B423&lt;55, "Middle-aged (45–54)")</f>
        <v>Young Adults (25–34)</v>
      </c>
      <c r="D423" t="s">
        <v>16</v>
      </c>
      <c r="E423" s="1">
        <v>5.3</v>
      </c>
      <c r="F423" s="1" t="str" cm="1">
        <f t="array" ref="F423">_xlfn.IFS(E423&lt;3, "Low (0–3 hrs)", E423&lt;6, "Moderate (3–6 hrs)", E423&lt;8, "High (6–8 hrs)", E423&gt;=8, "Very High (8+ hrs)")</f>
        <v>Moderate (3–6 hrs)</v>
      </c>
      <c r="G423" s="2">
        <v>6</v>
      </c>
      <c r="H423" s="2">
        <v>6</v>
      </c>
      <c r="I423" s="2">
        <v>6</v>
      </c>
      <c r="J423" s="2">
        <v>2</v>
      </c>
      <c r="K423" s="2" t="str" cm="1">
        <f t="array" ref="K423">_xlfn.IFS(Table1[[#This Row],[Exercise_Frequency(week)]]&lt;3, "Beginners (0–2 days)", Table1[[#This Row],[Exercise_Frequency(week)]]&lt;5, "Intermediate (3–4 days)", Table1[[#This Row],[Exercise_Frequency(week)]]&lt;8, "Advanced (5–7 days)")</f>
        <v>Beginners (0–2 days)</v>
      </c>
      <c r="L423" t="s">
        <v>14</v>
      </c>
      <c r="M423" s="2">
        <v>10</v>
      </c>
    </row>
    <row r="424" spans="1:13" x14ac:dyDescent="0.5">
      <c r="A424" t="s">
        <v>319</v>
      </c>
      <c r="B424" s="2">
        <v>16</v>
      </c>
      <c r="C424" s="2" t="str" cm="1">
        <f t="array" ref="C424">_xlfn.IFS(B424&lt;25, "Youth (16–24)", B424&lt;35, "Young Adults (25–34)", B424&lt;45, "Adults (35–44)", B424&lt;55, "Middle-aged (45–54)")</f>
        <v>Youth (16–24)</v>
      </c>
      <c r="D424" t="s">
        <v>16</v>
      </c>
      <c r="E424" s="1">
        <v>5.5</v>
      </c>
      <c r="F424" s="1" t="str" cm="1">
        <f t="array" ref="F424">_xlfn.IFS(E424&lt;3, "Low (0–3 hrs)", E424&lt;6, "Moderate (3–6 hrs)", E424&lt;8, "High (6–8 hrs)", E424&gt;=8, "Very High (8+ hrs)")</f>
        <v>Moderate (3–6 hrs)</v>
      </c>
      <c r="G424" s="2">
        <v>9</v>
      </c>
      <c r="H424" s="2">
        <v>5</v>
      </c>
      <c r="I424" s="2">
        <v>6</v>
      </c>
      <c r="J424" s="2">
        <v>2</v>
      </c>
      <c r="K424" s="2" t="str" cm="1">
        <f t="array" ref="K424">_xlfn.IFS(Table1[[#This Row],[Exercise_Frequency(week)]]&lt;3, "Beginners (0–2 days)", Table1[[#This Row],[Exercise_Frequency(week)]]&lt;5, "Intermediate (3–4 days)", Table1[[#This Row],[Exercise_Frequency(week)]]&lt;8, "Advanced (5–7 days)")</f>
        <v>Beginners (0–2 days)</v>
      </c>
      <c r="L424" t="s">
        <v>12</v>
      </c>
      <c r="M424" s="2">
        <v>10</v>
      </c>
    </row>
    <row r="425" spans="1:13" x14ac:dyDescent="0.5">
      <c r="A425" t="s">
        <v>324</v>
      </c>
      <c r="B425" s="2">
        <v>18</v>
      </c>
      <c r="C425" s="2" t="str" cm="1">
        <f t="array" ref="C425">_xlfn.IFS(B425&lt;25, "Youth (16–24)", B425&lt;35, "Young Adults (25–34)", B425&lt;45, "Adults (35–44)", B425&lt;55, "Middle-aged (45–54)")</f>
        <v>Youth (16–24)</v>
      </c>
      <c r="D425" t="s">
        <v>11</v>
      </c>
      <c r="E425" s="1">
        <v>1.7</v>
      </c>
      <c r="F425" s="1" t="str" cm="1">
        <f t="array" ref="F425">_xlfn.IFS(E425&lt;3, "Low (0–3 hrs)", E425&lt;6, "Moderate (3–6 hrs)", E425&lt;8, "High (6–8 hrs)", E425&gt;=8, "Very High (8+ hrs)")</f>
        <v>Low (0–3 hrs)</v>
      </c>
      <c r="G425" s="2">
        <v>9</v>
      </c>
      <c r="H425" s="2">
        <v>3</v>
      </c>
      <c r="I425" s="2">
        <v>1</v>
      </c>
      <c r="J425" s="2">
        <v>2</v>
      </c>
      <c r="K425" s="2" t="str" cm="1">
        <f t="array" ref="K425">_xlfn.IFS(Table1[[#This Row],[Exercise_Frequency(week)]]&lt;3, "Beginners (0–2 days)", Table1[[#This Row],[Exercise_Frequency(week)]]&lt;5, "Intermediate (3–4 days)", Table1[[#This Row],[Exercise_Frequency(week)]]&lt;8, "Advanced (5–7 days)")</f>
        <v>Beginners (0–2 days)</v>
      </c>
      <c r="L425" t="s">
        <v>19</v>
      </c>
      <c r="M425" s="2">
        <v>10</v>
      </c>
    </row>
    <row r="426" spans="1:13" x14ac:dyDescent="0.5">
      <c r="A426" t="s">
        <v>329</v>
      </c>
      <c r="B426" s="2">
        <v>44</v>
      </c>
      <c r="C426" s="2" t="str" cm="1">
        <f t="array" ref="C426">_xlfn.IFS(B426&lt;25, "Youth (16–24)", B426&lt;35, "Young Adults (25–34)", B426&lt;45, "Adults (35–44)", B426&lt;55, "Middle-aged (45–54)")</f>
        <v>Adults (35–44)</v>
      </c>
      <c r="D426" t="s">
        <v>11</v>
      </c>
      <c r="E426" s="1">
        <v>6.7</v>
      </c>
      <c r="F426" s="1" t="str" cm="1">
        <f t="array" ref="F426">_xlfn.IFS(E426&lt;3, "Low (0–3 hrs)", E426&lt;6, "Moderate (3–6 hrs)", E426&lt;8, "High (6–8 hrs)", E426&gt;=8, "Very High (8+ hrs)")</f>
        <v>High (6–8 hrs)</v>
      </c>
      <c r="G426" s="2">
        <v>8</v>
      </c>
      <c r="H426" s="2">
        <v>6</v>
      </c>
      <c r="I426" s="2">
        <v>4</v>
      </c>
      <c r="J426" s="2">
        <v>2</v>
      </c>
      <c r="K426" s="2" t="str" cm="1">
        <f t="array" ref="K426">_xlfn.IFS(Table1[[#This Row],[Exercise_Frequency(week)]]&lt;3, "Beginners (0–2 days)", Table1[[#This Row],[Exercise_Frequency(week)]]&lt;5, "Intermediate (3–4 days)", Table1[[#This Row],[Exercise_Frequency(week)]]&lt;8, "Advanced (5–7 days)")</f>
        <v>Beginners (0–2 days)</v>
      </c>
      <c r="L426" t="s">
        <v>12</v>
      </c>
      <c r="M426" s="2">
        <v>10</v>
      </c>
    </row>
    <row r="427" spans="1:13" x14ac:dyDescent="0.5">
      <c r="A427" t="s">
        <v>331</v>
      </c>
      <c r="B427" s="2">
        <v>43</v>
      </c>
      <c r="C427" s="2" t="str" cm="1">
        <f t="array" ref="C427">_xlfn.IFS(B427&lt;25, "Youth (16–24)", B427&lt;35, "Young Adults (25–34)", B427&lt;45, "Adults (35–44)", B427&lt;55, "Middle-aged (45–54)")</f>
        <v>Adults (35–44)</v>
      </c>
      <c r="D427" t="s">
        <v>16</v>
      </c>
      <c r="E427" s="1">
        <v>4.3</v>
      </c>
      <c r="F427" s="1" t="str" cm="1">
        <f t="array" ref="F427">_xlfn.IFS(E427&lt;3, "Low (0–3 hrs)", E427&lt;6, "Moderate (3–6 hrs)", E427&lt;8, "High (6–8 hrs)", E427&gt;=8, "Very High (8+ hrs)")</f>
        <v>Moderate (3–6 hrs)</v>
      </c>
      <c r="G427" s="2">
        <v>6</v>
      </c>
      <c r="H427" s="2">
        <v>3</v>
      </c>
      <c r="I427" s="2">
        <v>3</v>
      </c>
      <c r="J427" s="2">
        <v>2</v>
      </c>
      <c r="K427" s="2" t="str" cm="1">
        <f t="array" ref="K427">_xlfn.IFS(Table1[[#This Row],[Exercise_Frequency(week)]]&lt;3, "Beginners (0–2 days)", Table1[[#This Row],[Exercise_Frequency(week)]]&lt;5, "Intermediate (3–4 days)", Table1[[#This Row],[Exercise_Frequency(week)]]&lt;8, "Advanced (5–7 days)")</f>
        <v>Beginners (0–2 days)</v>
      </c>
      <c r="L427" t="s">
        <v>17</v>
      </c>
      <c r="M427" s="2">
        <v>10</v>
      </c>
    </row>
    <row r="428" spans="1:13" x14ac:dyDescent="0.5">
      <c r="A428" t="s">
        <v>344</v>
      </c>
      <c r="B428" s="2">
        <v>20</v>
      </c>
      <c r="C428" s="2" t="str" cm="1">
        <f t="array" ref="C428">_xlfn.IFS(B428&lt;25, "Youth (16–24)", B428&lt;35, "Young Adults (25–34)", B428&lt;45, "Adults (35–44)", B428&lt;55, "Middle-aged (45–54)")</f>
        <v>Youth (16–24)</v>
      </c>
      <c r="D428" t="s">
        <v>16</v>
      </c>
      <c r="E428" s="1">
        <v>3.6</v>
      </c>
      <c r="F428" s="1" t="str" cm="1">
        <f t="array" ref="F428">_xlfn.IFS(E428&lt;3, "Low (0–3 hrs)", E428&lt;6, "Moderate (3–6 hrs)", E428&lt;8, "High (6–8 hrs)", E428&gt;=8, "Very High (8+ hrs)")</f>
        <v>Moderate (3–6 hrs)</v>
      </c>
      <c r="G428" s="2">
        <v>6</v>
      </c>
      <c r="H428" s="2">
        <v>5</v>
      </c>
      <c r="I428" s="2">
        <v>2</v>
      </c>
      <c r="J428" s="2">
        <v>2</v>
      </c>
      <c r="K428" s="2" t="str" cm="1">
        <f t="array" ref="K428">_xlfn.IFS(Table1[[#This Row],[Exercise_Frequency(week)]]&lt;3, "Beginners (0–2 days)", Table1[[#This Row],[Exercise_Frequency(week)]]&lt;5, "Intermediate (3–4 days)", Table1[[#This Row],[Exercise_Frequency(week)]]&lt;8, "Advanced (5–7 days)")</f>
        <v>Beginners (0–2 days)</v>
      </c>
      <c r="L428" t="s">
        <v>19</v>
      </c>
      <c r="M428" s="2">
        <v>10</v>
      </c>
    </row>
    <row r="429" spans="1:13" x14ac:dyDescent="0.5">
      <c r="A429" t="s">
        <v>366</v>
      </c>
      <c r="B429" s="2">
        <v>48</v>
      </c>
      <c r="C429" s="2" t="str" cm="1">
        <f t="array" ref="C429">_xlfn.IFS(B429&lt;25, "Youth (16–24)", B429&lt;35, "Young Adults (25–34)", B429&lt;45, "Adults (35–44)", B429&lt;55, "Middle-aged (45–54)")</f>
        <v>Middle-aged (45–54)</v>
      </c>
      <c r="D429" t="s">
        <v>16</v>
      </c>
      <c r="E429" s="1">
        <v>3.9</v>
      </c>
      <c r="F429" s="1" t="str" cm="1">
        <f t="array" ref="F429">_xlfn.IFS(E429&lt;3, "Low (0–3 hrs)", E429&lt;6, "Moderate (3–6 hrs)", E429&lt;8, "High (6–8 hrs)", E429&gt;=8, "Very High (8+ hrs)")</f>
        <v>Moderate (3–6 hrs)</v>
      </c>
      <c r="G429" s="2">
        <v>6</v>
      </c>
      <c r="H429" s="2">
        <v>5</v>
      </c>
      <c r="I429" s="2">
        <v>0</v>
      </c>
      <c r="J429" s="2">
        <v>2</v>
      </c>
      <c r="K429" s="2" t="str" cm="1">
        <f t="array" ref="K429">_xlfn.IFS(Table1[[#This Row],[Exercise_Frequency(week)]]&lt;3, "Beginners (0–2 days)", Table1[[#This Row],[Exercise_Frequency(week)]]&lt;5, "Intermediate (3–4 days)", Table1[[#This Row],[Exercise_Frequency(week)]]&lt;8, "Advanced (5–7 days)")</f>
        <v>Beginners (0–2 days)</v>
      </c>
      <c r="L429" t="s">
        <v>13</v>
      </c>
      <c r="M429" s="2">
        <v>10</v>
      </c>
    </row>
    <row r="430" spans="1:13" x14ac:dyDescent="0.5">
      <c r="A430" t="s">
        <v>376</v>
      </c>
      <c r="B430" s="2">
        <v>44</v>
      </c>
      <c r="C430" s="2" t="str" cm="1">
        <f t="array" ref="C430">_xlfn.IFS(B430&lt;25, "Youth (16–24)", B430&lt;35, "Young Adults (25–34)", B430&lt;45, "Adults (35–44)", B430&lt;55, "Middle-aged (45–54)")</f>
        <v>Adults (35–44)</v>
      </c>
      <c r="D430" t="s">
        <v>16</v>
      </c>
      <c r="E430" s="1">
        <v>4.3</v>
      </c>
      <c r="F430" s="1" t="str" cm="1">
        <f t="array" ref="F430">_xlfn.IFS(E430&lt;3, "Low (0–3 hrs)", E430&lt;6, "Moderate (3–6 hrs)", E430&lt;8, "High (6–8 hrs)", E430&gt;=8, "Very High (8+ hrs)")</f>
        <v>Moderate (3–6 hrs)</v>
      </c>
      <c r="G430" s="2">
        <v>8</v>
      </c>
      <c r="H430" s="2">
        <v>7</v>
      </c>
      <c r="I430" s="2">
        <v>4</v>
      </c>
      <c r="J430" s="2">
        <v>2</v>
      </c>
      <c r="K430" s="2" t="str" cm="1">
        <f t="array" ref="K430">_xlfn.IFS(Table1[[#This Row],[Exercise_Frequency(week)]]&lt;3, "Beginners (0–2 days)", Table1[[#This Row],[Exercise_Frequency(week)]]&lt;5, "Intermediate (3–4 days)", Table1[[#This Row],[Exercise_Frequency(week)]]&lt;8, "Advanced (5–7 days)")</f>
        <v>Beginners (0–2 days)</v>
      </c>
      <c r="L430" t="s">
        <v>17</v>
      </c>
      <c r="M430" s="2">
        <v>10</v>
      </c>
    </row>
    <row r="431" spans="1:13" x14ac:dyDescent="0.5">
      <c r="A431" t="s">
        <v>436</v>
      </c>
      <c r="B431" s="2">
        <v>20</v>
      </c>
      <c r="C431" s="2" t="str" cm="1">
        <f t="array" ref="C431">_xlfn.IFS(B431&lt;25, "Youth (16–24)", B431&lt;35, "Young Adults (25–34)", B431&lt;45, "Adults (35–44)", B431&lt;55, "Middle-aged (45–54)")</f>
        <v>Youth (16–24)</v>
      </c>
      <c r="D431" t="s">
        <v>11</v>
      </c>
      <c r="E431" s="1">
        <v>3.3</v>
      </c>
      <c r="F431" s="1" t="str" cm="1">
        <f t="array" ref="F431">_xlfn.IFS(E431&lt;3, "Low (0–3 hrs)", E431&lt;6, "Moderate (3–6 hrs)", E431&lt;8, "High (6–8 hrs)", E431&gt;=8, "Very High (8+ hrs)")</f>
        <v>Moderate (3–6 hrs)</v>
      </c>
      <c r="G431" s="2">
        <v>8</v>
      </c>
      <c r="H431" s="2">
        <v>4</v>
      </c>
      <c r="I431" s="2">
        <v>7</v>
      </c>
      <c r="J431" s="2">
        <v>2</v>
      </c>
      <c r="K431" s="2" t="str" cm="1">
        <f t="array" ref="K431">_xlfn.IFS(Table1[[#This Row],[Exercise_Frequency(week)]]&lt;3, "Beginners (0–2 days)", Table1[[#This Row],[Exercise_Frequency(week)]]&lt;5, "Intermediate (3–4 days)", Table1[[#This Row],[Exercise_Frequency(week)]]&lt;8, "Advanced (5–7 days)")</f>
        <v>Beginners (0–2 days)</v>
      </c>
      <c r="L431" t="s">
        <v>17</v>
      </c>
      <c r="M431" s="2">
        <v>10</v>
      </c>
    </row>
    <row r="432" spans="1:13" x14ac:dyDescent="0.5">
      <c r="A432" t="s">
        <v>438</v>
      </c>
      <c r="B432" s="2">
        <v>34</v>
      </c>
      <c r="C432" s="2" t="str" cm="1">
        <f t="array" ref="C432">_xlfn.IFS(B432&lt;25, "Youth (16–24)", B432&lt;35, "Young Adults (25–34)", B432&lt;45, "Adults (35–44)", B432&lt;55, "Middle-aged (45–54)")</f>
        <v>Young Adults (25–34)</v>
      </c>
      <c r="D432" t="s">
        <v>11</v>
      </c>
      <c r="E432" s="1">
        <v>4.2</v>
      </c>
      <c r="F432" s="1" t="str" cm="1">
        <f t="array" ref="F432">_xlfn.IFS(E432&lt;3, "Low (0–3 hrs)", E432&lt;6, "Moderate (3–6 hrs)", E432&lt;8, "High (6–8 hrs)", E432&gt;=8, "Very High (8+ hrs)")</f>
        <v>Moderate (3–6 hrs)</v>
      </c>
      <c r="G432" s="2">
        <v>8</v>
      </c>
      <c r="H432" s="2">
        <v>4</v>
      </c>
      <c r="I432" s="2">
        <v>4</v>
      </c>
      <c r="J432" s="2">
        <v>2</v>
      </c>
      <c r="K432" s="2" t="str" cm="1">
        <f t="array" ref="K432">_xlfn.IFS(Table1[[#This Row],[Exercise_Frequency(week)]]&lt;3, "Beginners (0–2 days)", Table1[[#This Row],[Exercise_Frequency(week)]]&lt;5, "Intermediate (3–4 days)", Table1[[#This Row],[Exercise_Frequency(week)]]&lt;8, "Advanced (5–7 days)")</f>
        <v>Beginners (0–2 days)</v>
      </c>
      <c r="L432" t="s">
        <v>17</v>
      </c>
      <c r="M432" s="2">
        <v>10</v>
      </c>
    </row>
    <row r="433" spans="1:13" x14ac:dyDescent="0.5">
      <c r="A433" t="s">
        <v>452</v>
      </c>
      <c r="B433" s="2">
        <v>34</v>
      </c>
      <c r="C433" s="2" t="str" cm="1">
        <f t="array" ref="C433">_xlfn.IFS(B433&lt;25, "Youth (16–24)", B433&lt;35, "Young Adults (25–34)", B433&lt;45, "Adults (35–44)", B433&lt;55, "Middle-aged (45–54)")</f>
        <v>Young Adults (25–34)</v>
      </c>
      <c r="D433" t="s">
        <v>11</v>
      </c>
      <c r="E433" s="1">
        <v>2.1</v>
      </c>
      <c r="F433" s="1" t="str" cm="1">
        <f t="array" ref="F433">_xlfn.IFS(E433&lt;3, "Low (0–3 hrs)", E433&lt;6, "Moderate (3–6 hrs)", E433&lt;8, "High (6–8 hrs)", E433&gt;=8, "Very High (8+ hrs)")</f>
        <v>Low (0–3 hrs)</v>
      </c>
      <c r="G433" s="2">
        <v>9</v>
      </c>
      <c r="H433" s="2">
        <v>4</v>
      </c>
      <c r="I433" s="2">
        <v>5</v>
      </c>
      <c r="J433" s="2">
        <v>2</v>
      </c>
      <c r="K433" s="2" t="str" cm="1">
        <f t="array" ref="K433">_xlfn.IFS(Table1[[#This Row],[Exercise_Frequency(week)]]&lt;3, "Beginners (0–2 days)", Table1[[#This Row],[Exercise_Frequency(week)]]&lt;5, "Intermediate (3–4 days)", Table1[[#This Row],[Exercise_Frequency(week)]]&lt;8, "Advanced (5–7 days)")</f>
        <v>Beginners (0–2 days)</v>
      </c>
      <c r="L433" t="s">
        <v>12</v>
      </c>
      <c r="M433" s="2">
        <v>10</v>
      </c>
    </row>
    <row r="434" spans="1:13" x14ac:dyDescent="0.5">
      <c r="A434" t="s">
        <v>463</v>
      </c>
      <c r="B434" s="2">
        <v>40</v>
      </c>
      <c r="C434" s="2" t="str" cm="1">
        <f t="array" ref="C434">_xlfn.IFS(B434&lt;25, "Youth (16–24)", B434&lt;35, "Young Adults (25–34)", B434&lt;45, "Adults (35–44)", B434&lt;55, "Middle-aged (45–54)")</f>
        <v>Adults (35–44)</v>
      </c>
      <c r="D434" t="s">
        <v>11</v>
      </c>
      <c r="E434" s="1">
        <v>4.0999999999999996</v>
      </c>
      <c r="F434" s="1" t="str" cm="1">
        <f t="array" ref="F434">_xlfn.IFS(E434&lt;3, "Low (0–3 hrs)", E434&lt;6, "Moderate (3–6 hrs)", E434&lt;8, "High (6–8 hrs)", E434&gt;=8, "Very High (8+ hrs)")</f>
        <v>Moderate (3–6 hrs)</v>
      </c>
      <c r="G434" s="2">
        <v>6</v>
      </c>
      <c r="H434" s="2">
        <v>7</v>
      </c>
      <c r="I434" s="2">
        <v>1</v>
      </c>
      <c r="J434" s="2">
        <v>2</v>
      </c>
      <c r="K434" s="2" t="str" cm="1">
        <f t="array" ref="K434">_xlfn.IFS(Table1[[#This Row],[Exercise_Frequency(week)]]&lt;3, "Beginners (0–2 days)", Table1[[#This Row],[Exercise_Frequency(week)]]&lt;5, "Intermediate (3–4 days)", Table1[[#This Row],[Exercise_Frequency(week)]]&lt;8, "Advanced (5–7 days)")</f>
        <v>Beginners (0–2 days)</v>
      </c>
      <c r="L434" t="s">
        <v>12</v>
      </c>
      <c r="M434" s="2">
        <v>10</v>
      </c>
    </row>
    <row r="435" spans="1:13" x14ac:dyDescent="0.5">
      <c r="A435" t="s">
        <v>490</v>
      </c>
      <c r="B435" s="2">
        <v>23</v>
      </c>
      <c r="C435" s="2" t="str" cm="1">
        <f t="array" ref="C435">_xlfn.IFS(B435&lt;25, "Youth (16–24)", B435&lt;35, "Young Adults (25–34)", B435&lt;45, "Adults (35–44)", B435&lt;55, "Middle-aged (45–54)")</f>
        <v>Youth (16–24)</v>
      </c>
      <c r="D435" t="s">
        <v>11</v>
      </c>
      <c r="E435" s="1">
        <v>6.9</v>
      </c>
      <c r="F435" s="1" t="str" cm="1">
        <f t="array" ref="F435">_xlfn.IFS(E435&lt;3, "Low (0–3 hrs)", E435&lt;6, "Moderate (3–6 hrs)", E435&lt;8, "High (6–8 hrs)", E435&gt;=8, "Very High (8+ hrs)")</f>
        <v>High (6–8 hrs)</v>
      </c>
      <c r="G435" s="2">
        <v>5</v>
      </c>
      <c r="H435" s="2">
        <v>7</v>
      </c>
      <c r="I435" s="2">
        <v>4</v>
      </c>
      <c r="J435" s="2">
        <v>2</v>
      </c>
      <c r="K435" s="2" t="str" cm="1">
        <f t="array" ref="K435">_xlfn.IFS(Table1[[#This Row],[Exercise_Frequency(week)]]&lt;3, "Beginners (0–2 days)", Table1[[#This Row],[Exercise_Frequency(week)]]&lt;5, "Intermediate (3–4 days)", Table1[[#This Row],[Exercise_Frequency(week)]]&lt;8, "Advanced (5–7 days)")</f>
        <v>Beginners (0–2 days)</v>
      </c>
      <c r="L435" t="s">
        <v>19</v>
      </c>
      <c r="M435" s="2">
        <v>10</v>
      </c>
    </row>
    <row r="436" spans="1:13" x14ac:dyDescent="0.5">
      <c r="A436" t="s">
        <v>48</v>
      </c>
      <c r="B436" s="2">
        <v>43</v>
      </c>
      <c r="C436" s="2" t="str" cm="1">
        <f t="array" ref="C436">_xlfn.IFS(B436&lt;25, "Youth (16–24)", B436&lt;35, "Young Adults (25–34)", B436&lt;45, "Adults (35–44)", B436&lt;55, "Middle-aged (45–54)")</f>
        <v>Adults (35–44)</v>
      </c>
      <c r="D436" t="s">
        <v>16</v>
      </c>
      <c r="E436" s="1">
        <v>4.3</v>
      </c>
      <c r="F436" s="1" t="str" cm="1">
        <f t="array" ref="F436">_xlfn.IFS(E436&lt;3, "Low (0–3 hrs)", E436&lt;6, "Moderate (3–6 hrs)", E436&lt;8, "High (6–8 hrs)", E436&gt;=8, "Very High (8+ hrs)")</f>
        <v>Moderate (3–6 hrs)</v>
      </c>
      <c r="G436" s="2">
        <v>8</v>
      </c>
      <c r="H436" s="2">
        <v>4</v>
      </c>
      <c r="I436" s="2">
        <v>1</v>
      </c>
      <c r="J436" s="2">
        <v>1</v>
      </c>
      <c r="K436" s="2" t="str" cm="1">
        <f t="array" ref="K436">_xlfn.IFS(Table1[[#This Row],[Exercise_Frequency(week)]]&lt;3, "Beginners (0–2 days)", Table1[[#This Row],[Exercise_Frequency(week)]]&lt;5, "Intermediate (3–4 days)", Table1[[#This Row],[Exercise_Frequency(week)]]&lt;8, "Advanced (5–7 days)")</f>
        <v>Beginners (0–2 days)</v>
      </c>
      <c r="L436" t="s">
        <v>17</v>
      </c>
      <c r="M436" s="2">
        <v>10</v>
      </c>
    </row>
    <row r="437" spans="1:13" x14ac:dyDescent="0.5">
      <c r="A437" t="s">
        <v>50</v>
      </c>
      <c r="B437" s="2">
        <v>29</v>
      </c>
      <c r="C437" s="2" t="str" cm="1">
        <f t="array" ref="C437">_xlfn.IFS(B437&lt;25, "Youth (16–24)", B437&lt;35, "Young Adults (25–34)", B437&lt;45, "Adults (35–44)", B437&lt;55, "Middle-aged (45–54)")</f>
        <v>Young Adults (25–34)</v>
      </c>
      <c r="D437" t="s">
        <v>11</v>
      </c>
      <c r="E437" s="1">
        <v>7.2</v>
      </c>
      <c r="F437" s="1" t="str" cm="1">
        <f t="array" ref="F437">_xlfn.IFS(E437&lt;3, "Low (0–3 hrs)", E437&lt;6, "Moderate (3–6 hrs)", E437&lt;8, "High (6–8 hrs)", E437&gt;=8, "Very High (8+ hrs)")</f>
        <v>High (6–8 hrs)</v>
      </c>
      <c r="G437" s="2">
        <v>5</v>
      </c>
      <c r="H437" s="2">
        <v>7</v>
      </c>
      <c r="I437" s="2">
        <v>4</v>
      </c>
      <c r="J437" s="2">
        <v>1</v>
      </c>
      <c r="K437" s="2" t="str" cm="1">
        <f t="array" ref="K437">_xlfn.IFS(Table1[[#This Row],[Exercise_Frequency(week)]]&lt;3, "Beginners (0–2 days)", Table1[[#This Row],[Exercise_Frequency(week)]]&lt;5, "Intermediate (3–4 days)", Table1[[#This Row],[Exercise_Frequency(week)]]&lt;8, "Advanced (5–7 days)")</f>
        <v>Beginners (0–2 days)</v>
      </c>
      <c r="L437" t="s">
        <v>19</v>
      </c>
      <c r="M437" s="2">
        <v>10</v>
      </c>
    </row>
    <row r="438" spans="1:13" x14ac:dyDescent="0.5">
      <c r="A438" t="s">
        <v>74</v>
      </c>
      <c r="B438" s="2">
        <v>16</v>
      </c>
      <c r="C438" s="2" t="str" cm="1">
        <f t="array" ref="C438">_xlfn.IFS(B438&lt;25, "Youth (16–24)", B438&lt;35, "Young Adults (25–34)", B438&lt;45, "Adults (35–44)", B438&lt;55, "Middle-aged (45–54)")</f>
        <v>Youth (16–24)</v>
      </c>
      <c r="D438" t="s">
        <v>11</v>
      </c>
      <c r="E438" s="1">
        <v>4.4000000000000004</v>
      </c>
      <c r="F438" s="1" t="str" cm="1">
        <f t="array" ref="F438">_xlfn.IFS(E438&lt;3, "Low (0–3 hrs)", E438&lt;6, "Moderate (3–6 hrs)", E438&lt;8, "High (6–8 hrs)", E438&gt;=8, "Very High (8+ hrs)")</f>
        <v>Moderate (3–6 hrs)</v>
      </c>
      <c r="G438" s="2">
        <v>8</v>
      </c>
      <c r="H438" s="2">
        <v>4</v>
      </c>
      <c r="I438" s="2">
        <v>5</v>
      </c>
      <c r="J438" s="2">
        <v>1</v>
      </c>
      <c r="K438" s="2" t="str" cm="1">
        <f t="array" ref="K438">_xlfn.IFS(Table1[[#This Row],[Exercise_Frequency(week)]]&lt;3, "Beginners (0–2 days)", Table1[[#This Row],[Exercise_Frequency(week)]]&lt;5, "Intermediate (3–4 days)", Table1[[#This Row],[Exercise_Frequency(week)]]&lt;8, "Advanced (5–7 days)")</f>
        <v>Beginners (0–2 days)</v>
      </c>
      <c r="L438" t="s">
        <v>14</v>
      </c>
      <c r="M438" s="2">
        <v>10</v>
      </c>
    </row>
    <row r="439" spans="1:13" x14ac:dyDescent="0.5">
      <c r="A439" t="s">
        <v>75</v>
      </c>
      <c r="B439" s="2">
        <v>40</v>
      </c>
      <c r="C439" s="2" t="str" cm="1">
        <f t="array" ref="C439">_xlfn.IFS(B439&lt;25, "Youth (16–24)", B439&lt;35, "Young Adults (25–34)", B439&lt;45, "Adults (35–44)", B439&lt;55, "Middle-aged (45–54)")</f>
        <v>Adults (35–44)</v>
      </c>
      <c r="D439" t="s">
        <v>11</v>
      </c>
      <c r="E439" s="1">
        <v>4.5999999999999996</v>
      </c>
      <c r="F439" s="1" t="str" cm="1">
        <f t="array" ref="F439">_xlfn.IFS(E439&lt;3, "Low (0–3 hrs)", E439&lt;6, "Moderate (3–6 hrs)", E439&lt;8, "High (6–8 hrs)", E439&gt;=8, "Very High (8+ hrs)")</f>
        <v>Moderate (3–6 hrs)</v>
      </c>
      <c r="G439" s="2">
        <v>7</v>
      </c>
      <c r="H439" s="2">
        <v>6</v>
      </c>
      <c r="I439" s="2">
        <v>2</v>
      </c>
      <c r="J439" s="2">
        <v>1</v>
      </c>
      <c r="K439" s="2" t="str" cm="1">
        <f t="array" ref="K439">_xlfn.IFS(Table1[[#This Row],[Exercise_Frequency(week)]]&lt;3, "Beginners (0–2 days)", Table1[[#This Row],[Exercise_Frequency(week)]]&lt;5, "Intermediate (3–4 days)", Table1[[#This Row],[Exercise_Frequency(week)]]&lt;8, "Advanced (5–7 days)")</f>
        <v>Beginners (0–2 days)</v>
      </c>
      <c r="L439" t="s">
        <v>14</v>
      </c>
      <c r="M439" s="2">
        <v>10</v>
      </c>
    </row>
    <row r="440" spans="1:13" x14ac:dyDescent="0.5">
      <c r="A440" t="s">
        <v>76</v>
      </c>
      <c r="B440" s="2">
        <v>22</v>
      </c>
      <c r="C440" s="2" t="str" cm="1">
        <f t="array" ref="C440">_xlfn.IFS(B440&lt;25, "Youth (16–24)", B440&lt;35, "Young Adults (25–34)", B440&lt;45, "Adults (35–44)", B440&lt;55, "Middle-aged (45–54)")</f>
        <v>Youth (16–24)</v>
      </c>
      <c r="D440" t="s">
        <v>11</v>
      </c>
      <c r="E440" s="1">
        <v>5.2</v>
      </c>
      <c r="F440" s="1" t="str" cm="1">
        <f t="array" ref="F440">_xlfn.IFS(E440&lt;3, "Low (0–3 hrs)", E440&lt;6, "Moderate (3–6 hrs)", E440&lt;8, "High (6–8 hrs)", E440&gt;=8, "Very High (8+ hrs)")</f>
        <v>Moderate (3–6 hrs)</v>
      </c>
      <c r="G440" s="2">
        <v>9</v>
      </c>
      <c r="H440" s="2">
        <v>7</v>
      </c>
      <c r="I440" s="2">
        <v>5</v>
      </c>
      <c r="J440" s="2">
        <v>1</v>
      </c>
      <c r="K440" s="2" t="str" cm="1">
        <f t="array" ref="K440">_xlfn.IFS(Table1[[#This Row],[Exercise_Frequency(week)]]&lt;3, "Beginners (0–2 days)", Table1[[#This Row],[Exercise_Frequency(week)]]&lt;5, "Intermediate (3–4 days)", Table1[[#This Row],[Exercise_Frequency(week)]]&lt;8, "Advanced (5–7 days)")</f>
        <v>Beginners (0–2 days)</v>
      </c>
      <c r="L440" t="s">
        <v>17</v>
      </c>
      <c r="M440" s="2">
        <v>10</v>
      </c>
    </row>
    <row r="441" spans="1:13" x14ac:dyDescent="0.5">
      <c r="A441" t="s">
        <v>84</v>
      </c>
      <c r="B441" s="2">
        <v>23</v>
      </c>
      <c r="C441" s="2" t="str" cm="1">
        <f t="array" ref="C441">_xlfn.IFS(B441&lt;25, "Youth (16–24)", B441&lt;35, "Young Adults (25–34)", B441&lt;45, "Adults (35–44)", B441&lt;55, "Middle-aged (45–54)")</f>
        <v>Youth (16–24)</v>
      </c>
      <c r="D441" t="s">
        <v>11</v>
      </c>
      <c r="E441" s="1">
        <v>4.2</v>
      </c>
      <c r="F441" s="1" t="str" cm="1">
        <f t="array" ref="F441">_xlfn.IFS(E441&lt;3, "Low (0–3 hrs)", E441&lt;6, "Moderate (3–6 hrs)", E441&lt;8, "High (6–8 hrs)", E441&gt;=8, "Very High (8+ hrs)")</f>
        <v>Moderate (3–6 hrs)</v>
      </c>
      <c r="G441" s="2">
        <v>7</v>
      </c>
      <c r="H441" s="2">
        <v>5</v>
      </c>
      <c r="I441" s="2">
        <v>0</v>
      </c>
      <c r="J441" s="2">
        <v>1</v>
      </c>
      <c r="K441" s="2" t="str" cm="1">
        <f t="array" ref="K441">_xlfn.IFS(Table1[[#This Row],[Exercise_Frequency(week)]]&lt;3, "Beginners (0–2 days)", Table1[[#This Row],[Exercise_Frequency(week)]]&lt;5, "Intermediate (3–4 days)", Table1[[#This Row],[Exercise_Frequency(week)]]&lt;8, "Advanced (5–7 days)")</f>
        <v>Beginners (0–2 days)</v>
      </c>
      <c r="L441" t="s">
        <v>19</v>
      </c>
      <c r="M441" s="2">
        <v>10</v>
      </c>
    </row>
    <row r="442" spans="1:13" x14ac:dyDescent="0.5">
      <c r="A442" t="s">
        <v>94</v>
      </c>
      <c r="B442" s="2">
        <v>37</v>
      </c>
      <c r="C442" s="2" t="str" cm="1">
        <f t="array" ref="C442">_xlfn.IFS(B442&lt;25, "Youth (16–24)", B442&lt;35, "Young Adults (25–34)", B442&lt;45, "Adults (35–44)", B442&lt;55, "Middle-aged (45–54)")</f>
        <v>Adults (35–44)</v>
      </c>
      <c r="D442" t="s">
        <v>16</v>
      </c>
      <c r="E442" s="1">
        <v>3.2</v>
      </c>
      <c r="F442" s="1" t="str" cm="1">
        <f t="array" ref="F442">_xlfn.IFS(E442&lt;3, "Low (0–3 hrs)", E442&lt;6, "Moderate (3–6 hrs)", E442&lt;8, "High (6–8 hrs)", E442&gt;=8, "Very High (8+ hrs)")</f>
        <v>Moderate (3–6 hrs)</v>
      </c>
      <c r="G442" s="2">
        <v>8</v>
      </c>
      <c r="H442" s="2">
        <v>7</v>
      </c>
      <c r="I442" s="2">
        <v>3</v>
      </c>
      <c r="J442" s="2">
        <v>1</v>
      </c>
      <c r="K442" s="2" t="str" cm="1">
        <f t="array" ref="K442">_xlfn.IFS(Table1[[#This Row],[Exercise_Frequency(week)]]&lt;3, "Beginners (0–2 days)", Table1[[#This Row],[Exercise_Frequency(week)]]&lt;5, "Intermediate (3–4 days)", Table1[[#This Row],[Exercise_Frequency(week)]]&lt;8, "Advanced (5–7 days)")</f>
        <v>Beginners (0–2 days)</v>
      </c>
      <c r="L442" t="s">
        <v>19</v>
      </c>
      <c r="M442" s="2">
        <v>10</v>
      </c>
    </row>
    <row r="443" spans="1:13" x14ac:dyDescent="0.5">
      <c r="A443" t="s">
        <v>114</v>
      </c>
      <c r="B443" s="2">
        <v>30</v>
      </c>
      <c r="C443" s="2" t="str" cm="1">
        <f t="array" ref="C443">_xlfn.IFS(B443&lt;25, "Youth (16–24)", B443&lt;35, "Young Adults (25–34)", B443&lt;45, "Adults (35–44)", B443&lt;55, "Middle-aged (45–54)")</f>
        <v>Young Adults (25–34)</v>
      </c>
      <c r="D443" t="s">
        <v>11</v>
      </c>
      <c r="E443" s="1">
        <v>6.8</v>
      </c>
      <c r="F443" s="1" t="str" cm="1">
        <f t="array" ref="F443">_xlfn.IFS(E443&lt;3, "Low (0–3 hrs)", E443&lt;6, "Moderate (3–6 hrs)", E443&lt;8, "High (6–8 hrs)", E443&gt;=8, "Very High (8+ hrs)")</f>
        <v>High (6–8 hrs)</v>
      </c>
      <c r="G443" s="2">
        <v>7</v>
      </c>
      <c r="H443" s="2">
        <v>7</v>
      </c>
      <c r="I443" s="2">
        <v>2</v>
      </c>
      <c r="J443" s="2">
        <v>1</v>
      </c>
      <c r="K443" s="2" t="str" cm="1">
        <f t="array" ref="K443">_xlfn.IFS(Table1[[#This Row],[Exercise_Frequency(week)]]&lt;3, "Beginners (0–2 days)", Table1[[#This Row],[Exercise_Frequency(week)]]&lt;5, "Intermediate (3–4 days)", Table1[[#This Row],[Exercise_Frequency(week)]]&lt;8, "Advanced (5–7 days)")</f>
        <v>Beginners (0–2 days)</v>
      </c>
      <c r="L443" t="s">
        <v>19</v>
      </c>
      <c r="M443" s="2">
        <v>10</v>
      </c>
    </row>
    <row r="444" spans="1:13" x14ac:dyDescent="0.5">
      <c r="A444" t="s">
        <v>142</v>
      </c>
      <c r="B444" s="2">
        <v>47</v>
      </c>
      <c r="C444" s="2" t="str" cm="1">
        <f t="array" ref="C444">_xlfn.IFS(B444&lt;25, "Youth (16–24)", B444&lt;35, "Young Adults (25–34)", B444&lt;45, "Adults (35–44)", B444&lt;55, "Middle-aged (45–54)")</f>
        <v>Middle-aged (45–54)</v>
      </c>
      <c r="D444" t="s">
        <v>16</v>
      </c>
      <c r="E444" s="1">
        <v>2.9</v>
      </c>
      <c r="F444" s="1" t="str" cm="1">
        <f t="array" ref="F444">_xlfn.IFS(E444&lt;3, "Low (0–3 hrs)", E444&lt;6, "Moderate (3–6 hrs)", E444&lt;8, "High (6–8 hrs)", E444&gt;=8, "Very High (8+ hrs)")</f>
        <v>Low (0–3 hrs)</v>
      </c>
      <c r="G444" s="2">
        <v>8</v>
      </c>
      <c r="H444" s="2">
        <v>5</v>
      </c>
      <c r="I444" s="2">
        <v>0</v>
      </c>
      <c r="J444" s="2">
        <v>1</v>
      </c>
      <c r="K444" s="2" t="str" cm="1">
        <f t="array" ref="K444">_xlfn.IFS(Table1[[#This Row],[Exercise_Frequency(week)]]&lt;3, "Beginners (0–2 days)", Table1[[#This Row],[Exercise_Frequency(week)]]&lt;5, "Intermediate (3–4 days)", Table1[[#This Row],[Exercise_Frequency(week)]]&lt;8, "Advanced (5–7 days)")</f>
        <v>Beginners (0–2 days)</v>
      </c>
      <c r="L444" t="s">
        <v>23</v>
      </c>
      <c r="M444" s="2">
        <v>10</v>
      </c>
    </row>
    <row r="445" spans="1:13" x14ac:dyDescent="0.5">
      <c r="A445" t="s">
        <v>145</v>
      </c>
      <c r="B445" s="2">
        <v>27</v>
      </c>
      <c r="C445" s="2" t="str" cm="1">
        <f t="array" ref="C445">_xlfn.IFS(B445&lt;25, "Youth (16–24)", B445&lt;35, "Young Adults (25–34)", B445&lt;45, "Adults (35–44)", B445&lt;55, "Middle-aged (45–54)")</f>
        <v>Young Adults (25–34)</v>
      </c>
      <c r="D445" t="s">
        <v>11</v>
      </c>
      <c r="E445" s="1">
        <v>5.2</v>
      </c>
      <c r="F445" s="1" t="str" cm="1">
        <f t="array" ref="F445">_xlfn.IFS(E445&lt;3, "Low (0–3 hrs)", E445&lt;6, "Moderate (3–6 hrs)", E445&lt;8, "High (6–8 hrs)", E445&gt;=8, "Very High (8+ hrs)")</f>
        <v>Moderate (3–6 hrs)</v>
      </c>
      <c r="G445" s="2">
        <v>7</v>
      </c>
      <c r="H445" s="2">
        <v>5</v>
      </c>
      <c r="I445" s="2">
        <v>2</v>
      </c>
      <c r="J445" s="2">
        <v>1</v>
      </c>
      <c r="K445" s="2" t="str" cm="1">
        <f t="array" ref="K445">_xlfn.IFS(Table1[[#This Row],[Exercise_Frequency(week)]]&lt;3, "Beginners (0–2 days)", Table1[[#This Row],[Exercise_Frequency(week)]]&lt;5, "Intermediate (3–4 days)", Table1[[#This Row],[Exercise_Frequency(week)]]&lt;8, "Advanced (5–7 days)")</f>
        <v>Beginners (0–2 days)</v>
      </c>
      <c r="L445" t="s">
        <v>13</v>
      </c>
      <c r="M445" s="2">
        <v>10</v>
      </c>
    </row>
    <row r="446" spans="1:13" x14ac:dyDescent="0.5">
      <c r="A446" t="s">
        <v>146</v>
      </c>
      <c r="B446" s="2">
        <v>17</v>
      </c>
      <c r="C446" s="2" t="str" cm="1">
        <f t="array" ref="C446">_xlfn.IFS(B446&lt;25, "Youth (16–24)", B446&lt;35, "Young Adults (25–34)", B446&lt;45, "Adults (35–44)", B446&lt;55, "Middle-aged (45–54)")</f>
        <v>Youth (16–24)</v>
      </c>
      <c r="D446" t="s">
        <v>16</v>
      </c>
      <c r="E446" s="1">
        <v>4.8</v>
      </c>
      <c r="F446" s="1" t="str" cm="1">
        <f t="array" ref="F446">_xlfn.IFS(E446&lt;3, "Low (0–3 hrs)", E446&lt;6, "Moderate (3–6 hrs)", E446&lt;8, "High (6–8 hrs)", E446&gt;=8, "Very High (8+ hrs)")</f>
        <v>Moderate (3–6 hrs)</v>
      </c>
      <c r="G446" s="2">
        <v>8</v>
      </c>
      <c r="H446" s="2">
        <v>5</v>
      </c>
      <c r="I446" s="2">
        <v>4</v>
      </c>
      <c r="J446" s="2">
        <v>1</v>
      </c>
      <c r="K446" s="2" t="str" cm="1">
        <f t="array" ref="K446">_xlfn.IFS(Table1[[#This Row],[Exercise_Frequency(week)]]&lt;3, "Beginners (0–2 days)", Table1[[#This Row],[Exercise_Frequency(week)]]&lt;5, "Intermediate (3–4 days)", Table1[[#This Row],[Exercise_Frequency(week)]]&lt;8, "Advanced (5–7 days)")</f>
        <v>Beginners (0–2 days)</v>
      </c>
      <c r="L446" t="s">
        <v>19</v>
      </c>
      <c r="M446" s="2">
        <v>10</v>
      </c>
    </row>
    <row r="447" spans="1:13" x14ac:dyDescent="0.5">
      <c r="A447" t="s">
        <v>148</v>
      </c>
      <c r="B447" s="2">
        <v>32</v>
      </c>
      <c r="C447" s="2" t="str" cm="1">
        <f t="array" ref="C447">_xlfn.IFS(B447&lt;25, "Youth (16–24)", B447&lt;35, "Young Adults (25–34)", B447&lt;45, "Adults (35–44)", B447&lt;55, "Middle-aged (45–54)")</f>
        <v>Young Adults (25–34)</v>
      </c>
      <c r="D447" t="s">
        <v>11</v>
      </c>
      <c r="E447" s="1">
        <v>5.8</v>
      </c>
      <c r="F447" s="1" t="str" cm="1">
        <f t="array" ref="F447">_xlfn.IFS(E447&lt;3, "Low (0–3 hrs)", E447&lt;6, "Moderate (3–6 hrs)", E447&lt;8, "High (6–8 hrs)", E447&gt;=8, "Very High (8+ hrs)")</f>
        <v>Moderate (3–6 hrs)</v>
      </c>
      <c r="G447" s="2">
        <v>6</v>
      </c>
      <c r="H447" s="2">
        <v>6</v>
      </c>
      <c r="I447" s="2">
        <v>3</v>
      </c>
      <c r="J447" s="2">
        <v>1</v>
      </c>
      <c r="K447" s="2" t="str" cm="1">
        <f t="array" ref="K447">_xlfn.IFS(Table1[[#This Row],[Exercise_Frequency(week)]]&lt;3, "Beginners (0–2 days)", Table1[[#This Row],[Exercise_Frequency(week)]]&lt;5, "Intermediate (3–4 days)", Table1[[#This Row],[Exercise_Frequency(week)]]&lt;8, "Advanced (5–7 days)")</f>
        <v>Beginners (0–2 days)</v>
      </c>
      <c r="L447" t="s">
        <v>12</v>
      </c>
      <c r="M447" s="2">
        <v>10</v>
      </c>
    </row>
    <row r="448" spans="1:13" x14ac:dyDescent="0.5">
      <c r="A448" t="s">
        <v>149</v>
      </c>
      <c r="B448" s="2">
        <v>17</v>
      </c>
      <c r="C448" s="2" t="str" cm="1">
        <f t="array" ref="C448">_xlfn.IFS(B448&lt;25, "Youth (16–24)", B448&lt;35, "Young Adults (25–34)", B448&lt;45, "Adults (35–44)", B448&lt;55, "Middle-aged (45–54)")</f>
        <v>Youth (16–24)</v>
      </c>
      <c r="D448" t="s">
        <v>11</v>
      </c>
      <c r="E448" s="1">
        <v>2.2000000000000002</v>
      </c>
      <c r="F448" s="1" t="str" cm="1">
        <f t="array" ref="F448">_xlfn.IFS(E448&lt;3, "Low (0–3 hrs)", E448&lt;6, "Moderate (3–6 hrs)", E448&lt;8, "High (6–8 hrs)", E448&gt;=8, "Very High (8+ hrs)")</f>
        <v>Low (0–3 hrs)</v>
      </c>
      <c r="G448" s="2">
        <v>10</v>
      </c>
      <c r="H448" s="2">
        <v>5</v>
      </c>
      <c r="I448" s="2">
        <v>4</v>
      </c>
      <c r="J448" s="2">
        <v>1</v>
      </c>
      <c r="K448" s="2" t="str" cm="1">
        <f t="array" ref="K448">_xlfn.IFS(Table1[[#This Row],[Exercise_Frequency(week)]]&lt;3, "Beginners (0–2 days)", Table1[[#This Row],[Exercise_Frequency(week)]]&lt;5, "Intermediate (3–4 days)", Table1[[#This Row],[Exercise_Frequency(week)]]&lt;8, "Advanced (5–7 days)")</f>
        <v>Beginners (0–2 days)</v>
      </c>
      <c r="L448" t="s">
        <v>13</v>
      </c>
      <c r="M448" s="2">
        <v>10</v>
      </c>
    </row>
    <row r="449" spans="1:13" x14ac:dyDescent="0.5">
      <c r="A449" t="s">
        <v>152</v>
      </c>
      <c r="B449" s="2">
        <v>38</v>
      </c>
      <c r="C449" s="2" t="str" cm="1">
        <f t="array" ref="C449">_xlfn.IFS(B449&lt;25, "Youth (16–24)", B449&lt;35, "Young Adults (25–34)", B449&lt;45, "Adults (35–44)", B449&lt;55, "Middle-aged (45–54)")</f>
        <v>Adults (35–44)</v>
      </c>
      <c r="D449" t="s">
        <v>11</v>
      </c>
      <c r="E449" s="1">
        <v>5.7</v>
      </c>
      <c r="F449" s="1" t="str" cm="1">
        <f t="array" ref="F449">_xlfn.IFS(E449&lt;3, "Low (0–3 hrs)", E449&lt;6, "Moderate (3–6 hrs)", E449&lt;8, "High (6–8 hrs)", E449&gt;=8, "Very High (8+ hrs)")</f>
        <v>Moderate (3–6 hrs)</v>
      </c>
      <c r="G449" s="2">
        <v>7</v>
      </c>
      <c r="H449" s="2">
        <v>5</v>
      </c>
      <c r="I449" s="2">
        <v>2</v>
      </c>
      <c r="J449" s="2">
        <v>1</v>
      </c>
      <c r="K449" s="2" t="str" cm="1">
        <f t="array" ref="K449">_xlfn.IFS(Table1[[#This Row],[Exercise_Frequency(week)]]&lt;3, "Beginners (0–2 days)", Table1[[#This Row],[Exercise_Frequency(week)]]&lt;5, "Intermediate (3–4 days)", Table1[[#This Row],[Exercise_Frequency(week)]]&lt;8, "Advanced (5–7 days)")</f>
        <v>Beginners (0–2 days)</v>
      </c>
      <c r="L449" t="s">
        <v>13</v>
      </c>
      <c r="M449" s="2">
        <v>10</v>
      </c>
    </row>
    <row r="450" spans="1:13" x14ac:dyDescent="0.5">
      <c r="A450" t="s">
        <v>198</v>
      </c>
      <c r="B450" s="2">
        <v>20</v>
      </c>
      <c r="C450" s="2" t="str" cm="1">
        <f t="array" ref="C450">_xlfn.IFS(B450&lt;25, "Youth (16–24)", B450&lt;35, "Young Adults (25–34)", B450&lt;45, "Adults (35–44)", B450&lt;55, "Middle-aged (45–54)")</f>
        <v>Youth (16–24)</v>
      </c>
      <c r="D450" t="s">
        <v>11</v>
      </c>
      <c r="E450" s="1">
        <v>2.6</v>
      </c>
      <c r="F450" s="1" t="str" cm="1">
        <f t="array" ref="F450">_xlfn.IFS(E450&lt;3, "Low (0–3 hrs)", E450&lt;6, "Moderate (3–6 hrs)", E450&lt;8, "High (6–8 hrs)", E450&gt;=8, "Very High (8+ hrs)")</f>
        <v>Low (0–3 hrs)</v>
      </c>
      <c r="G450" s="2">
        <v>9</v>
      </c>
      <c r="H450" s="2">
        <v>4</v>
      </c>
      <c r="I450" s="2">
        <v>4</v>
      </c>
      <c r="J450" s="2">
        <v>1</v>
      </c>
      <c r="K450" s="2" t="str" cm="1">
        <f t="array" ref="K450">_xlfn.IFS(Table1[[#This Row],[Exercise_Frequency(week)]]&lt;3, "Beginners (0–2 days)", Table1[[#This Row],[Exercise_Frequency(week)]]&lt;5, "Intermediate (3–4 days)", Table1[[#This Row],[Exercise_Frequency(week)]]&lt;8, "Advanced (5–7 days)")</f>
        <v>Beginners (0–2 days)</v>
      </c>
      <c r="L450" t="s">
        <v>17</v>
      </c>
      <c r="M450" s="2">
        <v>10</v>
      </c>
    </row>
    <row r="451" spans="1:13" x14ac:dyDescent="0.5">
      <c r="A451" t="s">
        <v>225</v>
      </c>
      <c r="B451" s="2">
        <v>32</v>
      </c>
      <c r="C451" s="2" t="str" cm="1">
        <f t="array" ref="C451">_xlfn.IFS(B451&lt;25, "Youth (16–24)", B451&lt;35, "Young Adults (25–34)", B451&lt;45, "Adults (35–44)", B451&lt;55, "Middle-aged (45–54)")</f>
        <v>Young Adults (25–34)</v>
      </c>
      <c r="D451" t="s">
        <v>16</v>
      </c>
      <c r="E451" s="1">
        <v>3.6</v>
      </c>
      <c r="F451" s="1" t="str" cm="1">
        <f t="array" ref="F451">_xlfn.IFS(E451&lt;3, "Low (0–3 hrs)", E451&lt;6, "Moderate (3–6 hrs)", E451&lt;8, "High (6–8 hrs)", E451&gt;=8, "Very High (8+ hrs)")</f>
        <v>Moderate (3–6 hrs)</v>
      </c>
      <c r="G451" s="2">
        <v>7</v>
      </c>
      <c r="H451" s="2">
        <v>5</v>
      </c>
      <c r="I451" s="2">
        <v>3</v>
      </c>
      <c r="J451" s="2">
        <v>1</v>
      </c>
      <c r="K451" s="2" t="str" cm="1">
        <f t="array" ref="K451">_xlfn.IFS(Table1[[#This Row],[Exercise_Frequency(week)]]&lt;3, "Beginners (0–2 days)", Table1[[#This Row],[Exercise_Frequency(week)]]&lt;5, "Intermediate (3–4 days)", Table1[[#This Row],[Exercise_Frequency(week)]]&lt;8, "Advanced (5–7 days)")</f>
        <v>Beginners (0–2 days)</v>
      </c>
      <c r="L451" t="s">
        <v>12</v>
      </c>
      <c r="M451" s="2">
        <v>10</v>
      </c>
    </row>
    <row r="452" spans="1:13" x14ac:dyDescent="0.5">
      <c r="A452" t="s">
        <v>229</v>
      </c>
      <c r="B452" s="2">
        <v>37</v>
      </c>
      <c r="C452" s="2" t="str" cm="1">
        <f t="array" ref="C452">_xlfn.IFS(B452&lt;25, "Youth (16–24)", B452&lt;35, "Young Adults (25–34)", B452&lt;45, "Adults (35–44)", B452&lt;55, "Middle-aged (45–54)")</f>
        <v>Adults (35–44)</v>
      </c>
      <c r="D452" t="s">
        <v>16</v>
      </c>
      <c r="E452" s="1">
        <v>4.7</v>
      </c>
      <c r="F452" s="1" t="str" cm="1">
        <f t="array" ref="F452">_xlfn.IFS(E452&lt;3, "Low (0–3 hrs)", E452&lt;6, "Moderate (3–6 hrs)", E452&lt;8, "High (6–8 hrs)", E452&gt;=8, "Very High (8+ hrs)")</f>
        <v>Moderate (3–6 hrs)</v>
      </c>
      <c r="G452" s="2">
        <v>9</v>
      </c>
      <c r="H452" s="2">
        <v>6</v>
      </c>
      <c r="I452" s="2">
        <v>3</v>
      </c>
      <c r="J452" s="2">
        <v>1</v>
      </c>
      <c r="K452" s="2" t="str" cm="1">
        <f t="array" ref="K452">_xlfn.IFS(Table1[[#This Row],[Exercise_Frequency(week)]]&lt;3, "Beginners (0–2 days)", Table1[[#This Row],[Exercise_Frequency(week)]]&lt;5, "Intermediate (3–4 days)", Table1[[#This Row],[Exercise_Frequency(week)]]&lt;8, "Advanced (5–7 days)")</f>
        <v>Beginners (0–2 days)</v>
      </c>
      <c r="L452" t="s">
        <v>14</v>
      </c>
      <c r="M452" s="2">
        <v>10</v>
      </c>
    </row>
    <row r="453" spans="1:13" x14ac:dyDescent="0.5">
      <c r="A453" t="s">
        <v>262</v>
      </c>
      <c r="B453" s="2">
        <v>47</v>
      </c>
      <c r="C453" s="2" t="str" cm="1">
        <f t="array" ref="C453">_xlfn.IFS(B453&lt;25, "Youth (16–24)", B453&lt;35, "Young Adults (25–34)", B453&lt;45, "Adults (35–44)", B453&lt;55, "Middle-aged (45–54)")</f>
        <v>Middle-aged (45–54)</v>
      </c>
      <c r="D453" t="s">
        <v>16</v>
      </c>
      <c r="E453" s="1">
        <v>2.1</v>
      </c>
      <c r="F453" s="1" t="str" cm="1">
        <f t="array" ref="F453">_xlfn.IFS(E453&lt;3, "Low (0–3 hrs)", E453&lt;6, "Moderate (3–6 hrs)", E453&lt;8, "High (6–8 hrs)", E453&gt;=8, "Very High (8+ hrs)")</f>
        <v>Low (0–3 hrs)</v>
      </c>
      <c r="G453" s="2">
        <v>8</v>
      </c>
      <c r="H453" s="2">
        <v>4</v>
      </c>
      <c r="I453" s="2">
        <v>5</v>
      </c>
      <c r="J453" s="2">
        <v>1</v>
      </c>
      <c r="K453" s="2" t="str" cm="1">
        <f t="array" ref="K453">_xlfn.IFS(Table1[[#This Row],[Exercise_Frequency(week)]]&lt;3, "Beginners (0–2 days)", Table1[[#This Row],[Exercise_Frequency(week)]]&lt;5, "Intermediate (3–4 days)", Table1[[#This Row],[Exercise_Frequency(week)]]&lt;8, "Advanced (5–7 days)")</f>
        <v>Beginners (0–2 days)</v>
      </c>
      <c r="L453" t="s">
        <v>19</v>
      </c>
      <c r="M453" s="2">
        <v>10</v>
      </c>
    </row>
    <row r="454" spans="1:13" x14ac:dyDescent="0.5">
      <c r="A454" t="s">
        <v>355</v>
      </c>
      <c r="B454" s="2">
        <v>43</v>
      </c>
      <c r="C454" s="2" t="str" cm="1">
        <f t="array" ref="C454">_xlfn.IFS(B454&lt;25, "Youth (16–24)", B454&lt;35, "Young Adults (25–34)", B454&lt;45, "Adults (35–44)", B454&lt;55, "Middle-aged (45–54)")</f>
        <v>Adults (35–44)</v>
      </c>
      <c r="D454" t="s">
        <v>11</v>
      </c>
      <c r="E454" s="1">
        <v>3.8</v>
      </c>
      <c r="F454" s="1" t="str" cm="1">
        <f t="array" ref="F454">_xlfn.IFS(E454&lt;3, "Low (0–3 hrs)", E454&lt;6, "Moderate (3–6 hrs)", E454&lt;8, "High (6–8 hrs)", E454&gt;=8, "Very High (8+ hrs)")</f>
        <v>Moderate (3–6 hrs)</v>
      </c>
      <c r="G454" s="2">
        <v>8</v>
      </c>
      <c r="H454" s="2">
        <v>5</v>
      </c>
      <c r="I454" s="2">
        <v>4</v>
      </c>
      <c r="J454" s="2">
        <v>1</v>
      </c>
      <c r="K454" s="2" t="str" cm="1">
        <f t="array" ref="K454">_xlfn.IFS(Table1[[#This Row],[Exercise_Frequency(week)]]&lt;3, "Beginners (0–2 days)", Table1[[#This Row],[Exercise_Frequency(week)]]&lt;5, "Intermediate (3–4 days)", Table1[[#This Row],[Exercise_Frequency(week)]]&lt;8, "Advanced (5–7 days)")</f>
        <v>Beginners (0–2 days)</v>
      </c>
      <c r="L454" t="s">
        <v>13</v>
      </c>
      <c r="M454" s="2">
        <v>10</v>
      </c>
    </row>
    <row r="455" spans="1:13" x14ac:dyDescent="0.5">
      <c r="A455" t="s">
        <v>363</v>
      </c>
      <c r="B455" s="2">
        <v>27</v>
      </c>
      <c r="C455" s="2" t="str" cm="1">
        <f t="array" ref="C455">_xlfn.IFS(B455&lt;25, "Youth (16–24)", B455&lt;35, "Young Adults (25–34)", B455&lt;45, "Adults (35–44)", B455&lt;55, "Middle-aged (45–54)")</f>
        <v>Young Adults (25–34)</v>
      </c>
      <c r="D455" t="s">
        <v>16</v>
      </c>
      <c r="E455" s="1">
        <v>3.6</v>
      </c>
      <c r="F455" s="1" t="str" cm="1">
        <f t="array" ref="F455">_xlfn.IFS(E455&lt;3, "Low (0–3 hrs)", E455&lt;6, "Moderate (3–6 hrs)", E455&lt;8, "High (6–8 hrs)", E455&gt;=8, "Very High (8+ hrs)")</f>
        <v>Moderate (3–6 hrs)</v>
      </c>
      <c r="G455" s="2">
        <v>8</v>
      </c>
      <c r="H455" s="2">
        <v>5</v>
      </c>
      <c r="I455" s="2">
        <v>2</v>
      </c>
      <c r="J455" s="2">
        <v>1</v>
      </c>
      <c r="K455" s="2" t="str" cm="1">
        <f t="array" ref="K455">_xlfn.IFS(Table1[[#This Row],[Exercise_Frequency(week)]]&lt;3, "Beginners (0–2 days)", Table1[[#This Row],[Exercise_Frequency(week)]]&lt;5, "Intermediate (3–4 days)", Table1[[#This Row],[Exercise_Frequency(week)]]&lt;8, "Advanced (5–7 days)")</f>
        <v>Beginners (0–2 days)</v>
      </c>
      <c r="L455" t="s">
        <v>17</v>
      </c>
      <c r="M455" s="2">
        <v>10</v>
      </c>
    </row>
    <row r="456" spans="1:13" x14ac:dyDescent="0.5">
      <c r="A456" t="s">
        <v>368</v>
      </c>
      <c r="B456" s="2">
        <v>44</v>
      </c>
      <c r="C456" s="2" t="str" cm="1">
        <f t="array" ref="C456">_xlfn.IFS(B456&lt;25, "Youth (16–24)", B456&lt;35, "Young Adults (25–34)", B456&lt;45, "Adults (35–44)", B456&lt;55, "Middle-aged (45–54)")</f>
        <v>Adults (35–44)</v>
      </c>
      <c r="D456" t="s">
        <v>11</v>
      </c>
      <c r="E456" s="1">
        <v>2.7</v>
      </c>
      <c r="F456" s="1" t="str" cm="1">
        <f t="array" ref="F456">_xlfn.IFS(E456&lt;3, "Low (0–3 hrs)", E456&lt;6, "Moderate (3–6 hrs)", E456&lt;8, "High (6–8 hrs)", E456&gt;=8, "Very High (8+ hrs)")</f>
        <v>Low (0–3 hrs)</v>
      </c>
      <c r="G456" s="2">
        <v>9</v>
      </c>
      <c r="H456" s="2">
        <v>5</v>
      </c>
      <c r="I456" s="2">
        <v>5</v>
      </c>
      <c r="J456" s="2">
        <v>1</v>
      </c>
      <c r="K456" s="2" t="str" cm="1">
        <f t="array" ref="K456">_xlfn.IFS(Table1[[#This Row],[Exercise_Frequency(week)]]&lt;3, "Beginners (0–2 days)", Table1[[#This Row],[Exercise_Frequency(week)]]&lt;5, "Intermediate (3–4 days)", Table1[[#This Row],[Exercise_Frequency(week)]]&lt;8, "Advanced (5–7 days)")</f>
        <v>Beginners (0–2 days)</v>
      </c>
      <c r="L456" t="s">
        <v>17</v>
      </c>
      <c r="M456" s="2">
        <v>10</v>
      </c>
    </row>
    <row r="457" spans="1:13" x14ac:dyDescent="0.5">
      <c r="A457" t="s">
        <v>372</v>
      </c>
      <c r="B457" s="2">
        <v>38</v>
      </c>
      <c r="C457" s="2" t="str" cm="1">
        <f t="array" ref="C457">_xlfn.IFS(B457&lt;25, "Youth (16–24)", B457&lt;35, "Young Adults (25–34)", B457&lt;45, "Adults (35–44)", B457&lt;55, "Middle-aged (45–54)")</f>
        <v>Adults (35–44)</v>
      </c>
      <c r="D457" t="s">
        <v>16</v>
      </c>
      <c r="E457" s="1">
        <v>4.2</v>
      </c>
      <c r="F457" s="1" t="str" cm="1">
        <f t="array" ref="F457">_xlfn.IFS(E457&lt;3, "Low (0–3 hrs)", E457&lt;6, "Moderate (3–6 hrs)", E457&lt;8, "High (6–8 hrs)", E457&gt;=8, "Very High (8+ hrs)")</f>
        <v>Moderate (3–6 hrs)</v>
      </c>
      <c r="G457" s="2">
        <v>8</v>
      </c>
      <c r="H457" s="2">
        <v>5</v>
      </c>
      <c r="I457" s="2">
        <v>6</v>
      </c>
      <c r="J457" s="2">
        <v>1</v>
      </c>
      <c r="K457" s="2" t="str" cm="1">
        <f t="array" ref="K457">_xlfn.IFS(Table1[[#This Row],[Exercise_Frequency(week)]]&lt;3, "Beginners (0–2 days)", Table1[[#This Row],[Exercise_Frequency(week)]]&lt;5, "Intermediate (3–4 days)", Table1[[#This Row],[Exercise_Frequency(week)]]&lt;8, "Advanced (5–7 days)")</f>
        <v>Beginners (0–2 days)</v>
      </c>
      <c r="L457" t="s">
        <v>19</v>
      </c>
      <c r="M457" s="2">
        <v>10</v>
      </c>
    </row>
    <row r="458" spans="1:13" x14ac:dyDescent="0.5">
      <c r="A458" t="s">
        <v>399</v>
      </c>
      <c r="B458" s="2">
        <v>45</v>
      </c>
      <c r="C458" s="2" t="str" cm="1">
        <f t="array" ref="C458">_xlfn.IFS(B458&lt;25, "Youth (16–24)", B458&lt;35, "Young Adults (25–34)", B458&lt;45, "Adults (35–44)", B458&lt;55, "Middle-aged (45–54)")</f>
        <v>Middle-aged (45–54)</v>
      </c>
      <c r="D458" t="s">
        <v>11</v>
      </c>
      <c r="E458" s="1">
        <v>2.1</v>
      </c>
      <c r="F458" s="1" t="str" cm="1">
        <f t="array" ref="F458">_xlfn.IFS(E458&lt;3, "Low (0–3 hrs)", E458&lt;6, "Moderate (3–6 hrs)", E458&lt;8, "High (6–8 hrs)", E458&gt;=8, "Very High (8+ hrs)")</f>
        <v>Low (0–3 hrs)</v>
      </c>
      <c r="G458" s="2">
        <v>10</v>
      </c>
      <c r="H458" s="2">
        <v>5</v>
      </c>
      <c r="I458" s="2">
        <v>6</v>
      </c>
      <c r="J458" s="2">
        <v>1</v>
      </c>
      <c r="K458" s="2" t="str" cm="1">
        <f t="array" ref="K458">_xlfn.IFS(Table1[[#This Row],[Exercise_Frequency(week)]]&lt;3, "Beginners (0–2 days)", Table1[[#This Row],[Exercise_Frequency(week)]]&lt;5, "Intermediate (3–4 days)", Table1[[#This Row],[Exercise_Frequency(week)]]&lt;8, "Advanced (5–7 days)")</f>
        <v>Beginners (0–2 days)</v>
      </c>
      <c r="L458" t="s">
        <v>12</v>
      </c>
      <c r="M458" s="2">
        <v>10</v>
      </c>
    </row>
    <row r="459" spans="1:13" x14ac:dyDescent="0.5">
      <c r="A459" t="s">
        <v>425</v>
      </c>
      <c r="B459" s="2">
        <v>44</v>
      </c>
      <c r="C459" s="2" t="str" cm="1">
        <f t="array" ref="C459">_xlfn.IFS(B459&lt;25, "Youth (16–24)", B459&lt;35, "Young Adults (25–34)", B459&lt;45, "Adults (35–44)", B459&lt;55, "Middle-aged (45–54)")</f>
        <v>Adults (35–44)</v>
      </c>
      <c r="D459" t="s">
        <v>11</v>
      </c>
      <c r="E459" s="1">
        <v>5</v>
      </c>
      <c r="F459" s="1" t="str" cm="1">
        <f t="array" ref="F459">_xlfn.IFS(E459&lt;3, "Low (0–3 hrs)", E459&lt;6, "Moderate (3–6 hrs)", E459&lt;8, "High (6–8 hrs)", E459&gt;=8, "Very High (8+ hrs)")</f>
        <v>Moderate (3–6 hrs)</v>
      </c>
      <c r="G459" s="2">
        <v>6</v>
      </c>
      <c r="H459" s="2">
        <v>5</v>
      </c>
      <c r="I459" s="2">
        <v>3</v>
      </c>
      <c r="J459" s="2">
        <v>1</v>
      </c>
      <c r="K459" s="2" t="str" cm="1">
        <f t="array" ref="K459">_xlfn.IFS(Table1[[#This Row],[Exercise_Frequency(week)]]&lt;3, "Beginners (0–2 days)", Table1[[#This Row],[Exercise_Frequency(week)]]&lt;5, "Intermediate (3–4 days)", Table1[[#This Row],[Exercise_Frequency(week)]]&lt;8, "Advanced (5–7 days)")</f>
        <v>Beginners (0–2 days)</v>
      </c>
      <c r="L459" t="s">
        <v>19</v>
      </c>
      <c r="M459" s="2">
        <v>10</v>
      </c>
    </row>
    <row r="460" spans="1:13" x14ac:dyDescent="0.5">
      <c r="A460" t="s">
        <v>426</v>
      </c>
      <c r="B460" s="2">
        <v>26</v>
      </c>
      <c r="C460" s="2" t="str" cm="1">
        <f t="array" ref="C460">_xlfn.IFS(B460&lt;25, "Youth (16–24)", B460&lt;35, "Young Adults (25–34)", B460&lt;45, "Adults (35–44)", B460&lt;55, "Middle-aged (45–54)")</f>
        <v>Young Adults (25–34)</v>
      </c>
      <c r="D460" t="s">
        <v>16</v>
      </c>
      <c r="E460" s="1">
        <v>5</v>
      </c>
      <c r="F460" s="1" t="str" cm="1">
        <f t="array" ref="F460">_xlfn.IFS(E460&lt;3, "Low (0–3 hrs)", E460&lt;6, "Moderate (3–6 hrs)", E460&lt;8, "High (6–8 hrs)", E460&gt;=8, "Very High (8+ hrs)")</f>
        <v>Moderate (3–6 hrs)</v>
      </c>
      <c r="G460" s="2">
        <v>6</v>
      </c>
      <c r="H460" s="2">
        <v>6</v>
      </c>
      <c r="I460" s="2">
        <v>3</v>
      </c>
      <c r="J460" s="2">
        <v>1</v>
      </c>
      <c r="K460" s="2" t="str" cm="1">
        <f t="array" ref="K460">_xlfn.IFS(Table1[[#This Row],[Exercise_Frequency(week)]]&lt;3, "Beginners (0–2 days)", Table1[[#This Row],[Exercise_Frequency(week)]]&lt;5, "Intermediate (3–4 days)", Table1[[#This Row],[Exercise_Frequency(week)]]&lt;8, "Advanced (5–7 days)")</f>
        <v>Beginners (0–2 days)</v>
      </c>
      <c r="L460" t="s">
        <v>17</v>
      </c>
      <c r="M460" s="2">
        <v>10</v>
      </c>
    </row>
    <row r="461" spans="1:13" x14ac:dyDescent="0.5">
      <c r="A461" t="s">
        <v>466</v>
      </c>
      <c r="B461" s="2">
        <v>47</v>
      </c>
      <c r="C461" s="2" t="str" cm="1">
        <f t="array" ref="C461">_xlfn.IFS(B461&lt;25, "Youth (16–24)", B461&lt;35, "Young Adults (25–34)", B461&lt;45, "Adults (35–44)", B461&lt;55, "Middle-aged (45–54)")</f>
        <v>Middle-aged (45–54)</v>
      </c>
      <c r="D461" t="s">
        <v>16</v>
      </c>
      <c r="E461" s="1">
        <v>6.8</v>
      </c>
      <c r="F461" s="1" t="str" cm="1">
        <f t="array" ref="F461">_xlfn.IFS(E461&lt;3, "Low (0–3 hrs)", E461&lt;6, "Moderate (3–6 hrs)", E461&lt;8, "High (6–8 hrs)", E461&gt;=8, "Very High (8+ hrs)")</f>
        <v>High (6–8 hrs)</v>
      </c>
      <c r="G461" s="2">
        <v>5</v>
      </c>
      <c r="H461" s="2">
        <v>4</v>
      </c>
      <c r="I461" s="2">
        <v>3</v>
      </c>
      <c r="J461" s="2">
        <v>1</v>
      </c>
      <c r="K461" s="2" t="str" cm="1">
        <f t="array" ref="K461">_xlfn.IFS(Table1[[#This Row],[Exercise_Frequency(week)]]&lt;3, "Beginners (0–2 days)", Table1[[#This Row],[Exercise_Frequency(week)]]&lt;5, "Intermediate (3–4 days)", Table1[[#This Row],[Exercise_Frequency(week)]]&lt;8, "Advanced (5–7 days)")</f>
        <v>Beginners (0–2 days)</v>
      </c>
      <c r="L461" t="s">
        <v>23</v>
      </c>
      <c r="M461" s="2">
        <v>10</v>
      </c>
    </row>
    <row r="462" spans="1:13" x14ac:dyDescent="0.5">
      <c r="A462" t="s">
        <v>486</v>
      </c>
      <c r="B462" s="2">
        <v>23</v>
      </c>
      <c r="C462" s="2" t="str" cm="1">
        <f t="array" ref="C462">_xlfn.IFS(B462&lt;25, "Youth (16–24)", B462&lt;35, "Young Adults (25–34)", B462&lt;45, "Adults (35–44)", B462&lt;55, "Middle-aged (45–54)")</f>
        <v>Youth (16–24)</v>
      </c>
      <c r="D462" t="s">
        <v>11</v>
      </c>
      <c r="E462" s="1">
        <v>3.3</v>
      </c>
      <c r="F462" s="1" t="str" cm="1">
        <f t="array" ref="F462">_xlfn.IFS(E462&lt;3, "Low (0–3 hrs)", E462&lt;6, "Moderate (3–6 hrs)", E462&lt;8, "High (6–8 hrs)", E462&gt;=8, "Very High (8+ hrs)")</f>
        <v>Moderate (3–6 hrs)</v>
      </c>
      <c r="G462" s="2">
        <v>10</v>
      </c>
      <c r="H462" s="2">
        <v>4</v>
      </c>
      <c r="I462" s="2">
        <v>2</v>
      </c>
      <c r="J462" s="2">
        <v>1</v>
      </c>
      <c r="K462" s="2" t="str" cm="1">
        <f t="array" ref="K462">_xlfn.IFS(Table1[[#This Row],[Exercise_Frequency(week)]]&lt;3, "Beginners (0–2 days)", Table1[[#This Row],[Exercise_Frequency(week)]]&lt;5, "Intermediate (3–4 days)", Table1[[#This Row],[Exercise_Frequency(week)]]&lt;8, "Advanced (5–7 days)")</f>
        <v>Beginners (0–2 days)</v>
      </c>
      <c r="L462" t="s">
        <v>14</v>
      </c>
      <c r="M462" s="2">
        <v>10</v>
      </c>
    </row>
    <row r="463" spans="1:13" x14ac:dyDescent="0.5">
      <c r="A463" t="s">
        <v>40</v>
      </c>
      <c r="B463" s="2">
        <v>36</v>
      </c>
      <c r="C463" s="2" t="str" cm="1">
        <f t="array" ref="C463">_xlfn.IFS(B463&lt;25, "Youth (16–24)", B463&lt;35, "Young Adults (25–34)", B463&lt;45, "Adults (35–44)", B463&lt;55, "Middle-aged (45–54)")</f>
        <v>Adults (35–44)</v>
      </c>
      <c r="D463" t="s">
        <v>16</v>
      </c>
      <c r="E463" s="1">
        <v>2</v>
      </c>
      <c r="F463" s="1" t="str" cm="1">
        <f t="array" ref="F463">_xlfn.IFS(E463&lt;3, "Low (0–3 hrs)", E463&lt;6, "Moderate (3–6 hrs)", E463&lt;8, "High (6–8 hrs)", E463&gt;=8, "Very High (8+ hrs)")</f>
        <v>Low (0–3 hrs)</v>
      </c>
      <c r="G463" s="2">
        <v>8</v>
      </c>
      <c r="H463" s="2">
        <v>4</v>
      </c>
      <c r="I463" s="2">
        <v>5</v>
      </c>
      <c r="J463" s="2">
        <v>0</v>
      </c>
      <c r="K463" s="2" t="str" cm="1">
        <f t="array" ref="K463">_xlfn.IFS(Table1[[#This Row],[Exercise_Frequency(week)]]&lt;3, "Beginners (0–2 days)", Table1[[#This Row],[Exercise_Frequency(week)]]&lt;5, "Intermediate (3–4 days)", Table1[[#This Row],[Exercise_Frequency(week)]]&lt;8, "Advanced (5–7 days)")</f>
        <v>Beginners (0–2 days)</v>
      </c>
      <c r="L463" t="s">
        <v>12</v>
      </c>
      <c r="M463" s="2">
        <v>10</v>
      </c>
    </row>
    <row r="464" spans="1:13" x14ac:dyDescent="0.5">
      <c r="A464" t="s">
        <v>52</v>
      </c>
      <c r="B464" s="2">
        <v>19</v>
      </c>
      <c r="C464" s="2" t="str" cm="1">
        <f t="array" ref="C464">_xlfn.IFS(B464&lt;25, "Youth (16–24)", B464&lt;35, "Young Adults (25–34)", B464&lt;45, "Adults (35–44)", B464&lt;55, "Middle-aged (45–54)")</f>
        <v>Youth (16–24)</v>
      </c>
      <c r="D464" t="s">
        <v>11</v>
      </c>
      <c r="E464" s="1">
        <v>2.5</v>
      </c>
      <c r="F464" s="1" t="str" cm="1">
        <f t="array" ref="F464">_xlfn.IFS(E464&lt;3, "Low (0–3 hrs)", E464&lt;6, "Moderate (3–6 hrs)", E464&lt;8, "High (6–8 hrs)", E464&gt;=8, "Very High (8+ hrs)")</f>
        <v>Low (0–3 hrs)</v>
      </c>
      <c r="G464" s="2">
        <v>9</v>
      </c>
      <c r="H464" s="2">
        <v>3</v>
      </c>
      <c r="I464" s="2">
        <v>0</v>
      </c>
      <c r="J464" s="2">
        <v>0</v>
      </c>
      <c r="K464" s="2" t="str" cm="1">
        <f t="array" ref="K464">_xlfn.IFS(Table1[[#This Row],[Exercise_Frequency(week)]]&lt;3, "Beginners (0–2 days)", Table1[[#This Row],[Exercise_Frequency(week)]]&lt;5, "Intermediate (3–4 days)", Table1[[#This Row],[Exercise_Frequency(week)]]&lt;8, "Advanced (5–7 days)")</f>
        <v>Beginners (0–2 days)</v>
      </c>
      <c r="L464" t="s">
        <v>13</v>
      </c>
      <c r="M464" s="2">
        <v>10</v>
      </c>
    </row>
    <row r="465" spans="1:13" x14ac:dyDescent="0.5">
      <c r="A465" t="s">
        <v>96</v>
      </c>
      <c r="B465" s="2">
        <v>16</v>
      </c>
      <c r="C465" s="2" t="str" cm="1">
        <f t="array" ref="C465">_xlfn.IFS(B465&lt;25, "Youth (16–24)", B465&lt;35, "Young Adults (25–34)", B465&lt;45, "Adults (35–44)", B465&lt;55, "Middle-aged (45–54)")</f>
        <v>Youth (16–24)</v>
      </c>
      <c r="D465" t="s">
        <v>11</v>
      </c>
      <c r="E465" s="1">
        <v>3.8</v>
      </c>
      <c r="F465" s="1" t="str" cm="1">
        <f t="array" ref="F465">_xlfn.IFS(E465&lt;3, "Low (0–3 hrs)", E465&lt;6, "Moderate (3–6 hrs)", E465&lt;8, "High (6–8 hrs)", E465&gt;=8, "Very High (8+ hrs)")</f>
        <v>Moderate (3–6 hrs)</v>
      </c>
      <c r="G465" s="2">
        <v>10</v>
      </c>
      <c r="H465" s="2">
        <v>6</v>
      </c>
      <c r="I465" s="2">
        <v>5</v>
      </c>
      <c r="J465" s="2">
        <v>0</v>
      </c>
      <c r="K465" s="2" t="str" cm="1">
        <f t="array" ref="K465">_xlfn.IFS(Table1[[#This Row],[Exercise_Frequency(week)]]&lt;3, "Beginners (0–2 days)", Table1[[#This Row],[Exercise_Frequency(week)]]&lt;5, "Intermediate (3–4 days)", Table1[[#This Row],[Exercise_Frequency(week)]]&lt;8, "Advanced (5–7 days)")</f>
        <v>Beginners (0–2 days)</v>
      </c>
      <c r="L465" t="s">
        <v>19</v>
      </c>
      <c r="M465" s="2">
        <v>10</v>
      </c>
    </row>
    <row r="466" spans="1:13" x14ac:dyDescent="0.5">
      <c r="A466" t="s">
        <v>169</v>
      </c>
      <c r="B466" s="2">
        <v>37</v>
      </c>
      <c r="C466" s="2" t="str" cm="1">
        <f t="array" ref="C466">_xlfn.IFS(B466&lt;25, "Youth (16–24)", B466&lt;35, "Young Adults (25–34)", B466&lt;45, "Adults (35–44)", B466&lt;55, "Middle-aged (45–54)")</f>
        <v>Adults (35–44)</v>
      </c>
      <c r="D466" t="s">
        <v>16</v>
      </c>
      <c r="E466" s="1">
        <v>5.3</v>
      </c>
      <c r="F466" s="1" t="str" cm="1">
        <f t="array" ref="F466">_xlfn.IFS(E466&lt;3, "Low (0–3 hrs)", E466&lt;6, "Moderate (3–6 hrs)", E466&lt;8, "High (6–8 hrs)", E466&gt;=8, "Very High (8+ hrs)")</f>
        <v>Moderate (3–6 hrs)</v>
      </c>
      <c r="G466" s="2">
        <v>7</v>
      </c>
      <c r="H466" s="2">
        <v>6</v>
      </c>
      <c r="I466" s="2">
        <v>4</v>
      </c>
      <c r="J466" s="2">
        <v>0</v>
      </c>
      <c r="K466" s="2" t="str" cm="1">
        <f t="array" ref="K466">_xlfn.IFS(Table1[[#This Row],[Exercise_Frequency(week)]]&lt;3, "Beginners (0–2 days)", Table1[[#This Row],[Exercise_Frequency(week)]]&lt;5, "Intermediate (3–4 days)", Table1[[#This Row],[Exercise_Frequency(week)]]&lt;8, "Advanced (5–7 days)")</f>
        <v>Beginners (0–2 days)</v>
      </c>
      <c r="L466" t="s">
        <v>23</v>
      </c>
      <c r="M466" s="2">
        <v>10</v>
      </c>
    </row>
    <row r="467" spans="1:13" x14ac:dyDescent="0.5">
      <c r="A467" t="s">
        <v>181</v>
      </c>
      <c r="B467" s="2">
        <v>34</v>
      </c>
      <c r="C467" s="2" t="str" cm="1">
        <f t="array" ref="C467">_xlfn.IFS(B467&lt;25, "Youth (16–24)", B467&lt;35, "Young Adults (25–34)", B467&lt;45, "Adults (35–44)", B467&lt;55, "Middle-aged (45–54)")</f>
        <v>Young Adults (25–34)</v>
      </c>
      <c r="D467" t="s">
        <v>11</v>
      </c>
      <c r="E467" s="1">
        <v>5.4</v>
      </c>
      <c r="F467" s="1" t="str" cm="1">
        <f t="array" ref="F467">_xlfn.IFS(E467&lt;3, "Low (0–3 hrs)", E467&lt;6, "Moderate (3–6 hrs)", E467&lt;8, "High (6–8 hrs)", E467&gt;=8, "Very High (8+ hrs)")</f>
        <v>Moderate (3–6 hrs)</v>
      </c>
      <c r="G467" s="2">
        <v>6</v>
      </c>
      <c r="H467" s="2">
        <v>6</v>
      </c>
      <c r="I467" s="2">
        <v>4</v>
      </c>
      <c r="J467" s="2">
        <v>0</v>
      </c>
      <c r="K467" s="2" t="str" cm="1">
        <f t="array" ref="K467">_xlfn.IFS(Table1[[#This Row],[Exercise_Frequency(week)]]&lt;3, "Beginners (0–2 days)", Table1[[#This Row],[Exercise_Frequency(week)]]&lt;5, "Intermediate (3–4 days)", Table1[[#This Row],[Exercise_Frequency(week)]]&lt;8, "Advanced (5–7 days)")</f>
        <v>Beginners (0–2 days)</v>
      </c>
      <c r="L467" t="s">
        <v>23</v>
      </c>
      <c r="M467" s="2">
        <v>10</v>
      </c>
    </row>
    <row r="468" spans="1:13" x14ac:dyDescent="0.5">
      <c r="A468" t="s">
        <v>204</v>
      </c>
      <c r="B468" s="2">
        <v>35</v>
      </c>
      <c r="C468" s="2" t="str" cm="1">
        <f t="array" ref="C468">_xlfn.IFS(B468&lt;25, "Youth (16–24)", B468&lt;35, "Young Adults (25–34)", B468&lt;45, "Adults (35–44)", B468&lt;55, "Middle-aged (45–54)")</f>
        <v>Adults (35–44)</v>
      </c>
      <c r="D468" t="s">
        <v>16</v>
      </c>
      <c r="E468" s="1">
        <v>5.2</v>
      </c>
      <c r="F468" s="1" t="str" cm="1">
        <f t="array" ref="F468">_xlfn.IFS(E468&lt;3, "Low (0–3 hrs)", E468&lt;6, "Moderate (3–6 hrs)", E468&lt;8, "High (6–8 hrs)", E468&gt;=8, "Very High (8+ hrs)")</f>
        <v>Moderate (3–6 hrs)</v>
      </c>
      <c r="G468" s="2">
        <v>7</v>
      </c>
      <c r="H468" s="2">
        <v>6</v>
      </c>
      <c r="I468" s="2">
        <v>4</v>
      </c>
      <c r="J468" s="2">
        <v>0</v>
      </c>
      <c r="K468" s="2" t="str" cm="1">
        <f t="array" ref="K468">_xlfn.IFS(Table1[[#This Row],[Exercise_Frequency(week)]]&lt;3, "Beginners (0–2 days)", Table1[[#This Row],[Exercise_Frequency(week)]]&lt;5, "Intermediate (3–4 days)", Table1[[#This Row],[Exercise_Frequency(week)]]&lt;8, "Advanced (5–7 days)")</f>
        <v>Beginners (0–2 days)</v>
      </c>
      <c r="L468" t="s">
        <v>12</v>
      </c>
      <c r="M468" s="2">
        <v>10</v>
      </c>
    </row>
    <row r="469" spans="1:13" x14ac:dyDescent="0.5">
      <c r="A469" t="s">
        <v>219</v>
      </c>
      <c r="B469" s="2">
        <v>48</v>
      </c>
      <c r="C469" s="2" t="str" cm="1">
        <f t="array" ref="C469">_xlfn.IFS(B469&lt;25, "Youth (16–24)", B469&lt;35, "Young Adults (25–34)", B469&lt;45, "Adults (35–44)", B469&lt;55, "Middle-aged (45–54)")</f>
        <v>Middle-aged (45–54)</v>
      </c>
      <c r="D469" t="s">
        <v>11</v>
      </c>
      <c r="E469" s="1">
        <v>3.9</v>
      </c>
      <c r="F469" s="1" t="str" cm="1">
        <f t="array" ref="F469">_xlfn.IFS(E469&lt;3, "Low (0–3 hrs)", E469&lt;6, "Moderate (3–6 hrs)", E469&lt;8, "High (6–8 hrs)", E469&gt;=8, "Very High (8+ hrs)")</f>
        <v>Moderate (3–6 hrs)</v>
      </c>
      <c r="G469" s="2">
        <v>9</v>
      </c>
      <c r="H469" s="2">
        <v>5</v>
      </c>
      <c r="I469" s="2">
        <v>1</v>
      </c>
      <c r="J469" s="2">
        <v>0</v>
      </c>
      <c r="K469" s="2" t="str" cm="1">
        <f t="array" ref="K469">_xlfn.IFS(Table1[[#This Row],[Exercise_Frequency(week)]]&lt;3, "Beginners (0–2 days)", Table1[[#This Row],[Exercise_Frequency(week)]]&lt;5, "Intermediate (3–4 days)", Table1[[#This Row],[Exercise_Frequency(week)]]&lt;8, "Advanced (5–7 days)")</f>
        <v>Beginners (0–2 days)</v>
      </c>
      <c r="L469" t="s">
        <v>19</v>
      </c>
      <c r="M469" s="2">
        <v>10</v>
      </c>
    </row>
    <row r="470" spans="1:13" x14ac:dyDescent="0.5">
      <c r="A470" t="s">
        <v>254</v>
      </c>
      <c r="B470" s="2">
        <v>38</v>
      </c>
      <c r="C470" s="2" t="str" cm="1">
        <f t="array" ref="C470">_xlfn.IFS(B470&lt;25, "Youth (16–24)", B470&lt;35, "Young Adults (25–34)", B470&lt;45, "Adults (35–44)", B470&lt;55, "Middle-aged (45–54)")</f>
        <v>Adults (35–44)</v>
      </c>
      <c r="D470" t="s">
        <v>16</v>
      </c>
      <c r="E470" s="1">
        <v>3.5</v>
      </c>
      <c r="F470" s="1" t="str" cm="1">
        <f t="array" ref="F470">_xlfn.IFS(E470&lt;3, "Low (0–3 hrs)", E470&lt;6, "Moderate (3–6 hrs)", E470&lt;8, "High (6–8 hrs)", E470&gt;=8, "Very High (8+ hrs)")</f>
        <v>Moderate (3–6 hrs)</v>
      </c>
      <c r="G470" s="2">
        <v>9</v>
      </c>
      <c r="H470" s="2">
        <v>4</v>
      </c>
      <c r="I470" s="2">
        <v>0</v>
      </c>
      <c r="J470" s="2">
        <v>0</v>
      </c>
      <c r="K470" s="2" t="str" cm="1">
        <f t="array" ref="K470">_xlfn.IFS(Table1[[#This Row],[Exercise_Frequency(week)]]&lt;3, "Beginners (0–2 days)", Table1[[#This Row],[Exercise_Frequency(week)]]&lt;5, "Intermediate (3–4 days)", Table1[[#This Row],[Exercise_Frequency(week)]]&lt;8, "Advanced (5–7 days)")</f>
        <v>Beginners (0–2 days)</v>
      </c>
      <c r="L470" t="s">
        <v>12</v>
      </c>
      <c r="M470" s="2">
        <v>10</v>
      </c>
    </row>
    <row r="471" spans="1:13" x14ac:dyDescent="0.5">
      <c r="A471" t="s">
        <v>263</v>
      </c>
      <c r="B471" s="2">
        <v>37</v>
      </c>
      <c r="C471" s="2" t="str" cm="1">
        <f t="array" ref="C471">_xlfn.IFS(B471&lt;25, "Youth (16–24)", B471&lt;35, "Young Adults (25–34)", B471&lt;45, "Adults (35–44)", B471&lt;55, "Middle-aged (45–54)")</f>
        <v>Adults (35–44)</v>
      </c>
      <c r="D471" t="s">
        <v>16</v>
      </c>
      <c r="E471" s="1">
        <v>3.9</v>
      </c>
      <c r="F471" s="1" t="str" cm="1">
        <f t="array" ref="F471">_xlfn.IFS(E471&lt;3, "Low (0–3 hrs)", E471&lt;6, "Moderate (3–6 hrs)", E471&lt;8, "High (6–8 hrs)", E471&gt;=8, "Very High (8+ hrs)")</f>
        <v>Moderate (3–6 hrs)</v>
      </c>
      <c r="G471" s="2">
        <v>8</v>
      </c>
      <c r="H471" s="2">
        <v>6</v>
      </c>
      <c r="I471" s="2">
        <v>3</v>
      </c>
      <c r="J471" s="2">
        <v>0</v>
      </c>
      <c r="K471" s="2" t="str" cm="1">
        <f t="array" ref="K471">_xlfn.IFS(Table1[[#This Row],[Exercise_Frequency(week)]]&lt;3, "Beginners (0–2 days)", Table1[[#This Row],[Exercise_Frequency(week)]]&lt;5, "Intermediate (3–4 days)", Table1[[#This Row],[Exercise_Frequency(week)]]&lt;8, "Advanced (5–7 days)")</f>
        <v>Beginners (0–2 days)</v>
      </c>
      <c r="L471" t="s">
        <v>13</v>
      </c>
      <c r="M471" s="2">
        <v>10</v>
      </c>
    </row>
    <row r="472" spans="1:13" x14ac:dyDescent="0.5">
      <c r="A472" t="s">
        <v>352</v>
      </c>
      <c r="B472" s="2">
        <v>39</v>
      </c>
      <c r="C472" s="2" t="str" cm="1">
        <f t="array" ref="C472">_xlfn.IFS(B472&lt;25, "Youth (16–24)", B472&lt;35, "Young Adults (25–34)", B472&lt;45, "Adults (35–44)", B472&lt;55, "Middle-aged (45–54)")</f>
        <v>Adults (35–44)</v>
      </c>
      <c r="D472" t="s">
        <v>16</v>
      </c>
      <c r="E472" s="1">
        <v>6.5</v>
      </c>
      <c r="F472" s="1" t="str" cm="1">
        <f t="array" ref="F472">_xlfn.IFS(E472&lt;3, "Low (0–3 hrs)", E472&lt;6, "Moderate (3–6 hrs)", E472&lt;8, "High (6–8 hrs)", E472&gt;=8, "Very High (8+ hrs)")</f>
        <v>High (6–8 hrs)</v>
      </c>
      <c r="G472" s="2">
        <v>5</v>
      </c>
      <c r="H472" s="2">
        <v>5</v>
      </c>
      <c r="I472" s="2">
        <v>5</v>
      </c>
      <c r="J472" s="2">
        <v>0</v>
      </c>
      <c r="K472" s="2" t="str" cm="1">
        <f t="array" ref="K472">_xlfn.IFS(Table1[[#This Row],[Exercise_Frequency(week)]]&lt;3, "Beginners (0–2 days)", Table1[[#This Row],[Exercise_Frequency(week)]]&lt;5, "Intermediate (3–4 days)", Table1[[#This Row],[Exercise_Frequency(week)]]&lt;8, "Advanced (5–7 days)")</f>
        <v>Beginners (0–2 days)</v>
      </c>
      <c r="L472" t="s">
        <v>23</v>
      </c>
      <c r="M472" s="2">
        <v>10</v>
      </c>
    </row>
    <row r="473" spans="1:13" x14ac:dyDescent="0.5">
      <c r="A473" t="s">
        <v>361</v>
      </c>
      <c r="B473" s="2">
        <v>48</v>
      </c>
      <c r="C473" s="2" t="str" cm="1">
        <f t="array" ref="C473">_xlfn.IFS(B473&lt;25, "Youth (16–24)", B473&lt;35, "Young Adults (25–34)", B473&lt;45, "Adults (35–44)", B473&lt;55, "Middle-aged (45–54)")</f>
        <v>Middle-aged (45–54)</v>
      </c>
      <c r="D473" t="s">
        <v>16</v>
      </c>
      <c r="E473" s="1">
        <v>5</v>
      </c>
      <c r="F473" s="1" t="str" cm="1">
        <f t="array" ref="F473">_xlfn.IFS(E473&lt;3, "Low (0–3 hrs)", E473&lt;6, "Moderate (3–6 hrs)", E473&lt;8, "High (6–8 hrs)", E473&gt;=8, "Very High (8+ hrs)")</f>
        <v>Moderate (3–6 hrs)</v>
      </c>
      <c r="G473" s="2">
        <v>8</v>
      </c>
      <c r="H473" s="2">
        <v>6</v>
      </c>
      <c r="I473" s="2">
        <v>5</v>
      </c>
      <c r="J473" s="2">
        <v>0</v>
      </c>
      <c r="K473" s="2" t="str" cm="1">
        <f t="array" ref="K473">_xlfn.IFS(Table1[[#This Row],[Exercise_Frequency(week)]]&lt;3, "Beginners (0–2 days)", Table1[[#This Row],[Exercise_Frequency(week)]]&lt;5, "Intermediate (3–4 days)", Table1[[#This Row],[Exercise_Frequency(week)]]&lt;8, "Advanced (5–7 days)")</f>
        <v>Beginners (0–2 days)</v>
      </c>
      <c r="L473" t="s">
        <v>13</v>
      </c>
      <c r="M473" s="2">
        <v>10</v>
      </c>
    </row>
    <row r="474" spans="1:13" x14ac:dyDescent="0.5">
      <c r="A474" t="s">
        <v>380</v>
      </c>
      <c r="B474" s="2">
        <v>49</v>
      </c>
      <c r="C474" s="2" t="str" cm="1">
        <f t="array" ref="C474">_xlfn.IFS(B474&lt;25, "Youth (16–24)", B474&lt;35, "Young Adults (25–34)", B474&lt;45, "Adults (35–44)", B474&lt;55, "Middle-aged (45–54)")</f>
        <v>Middle-aged (45–54)</v>
      </c>
      <c r="D474" t="s">
        <v>11</v>
      </c>
      <c r="E474" s="1">
        <v>5.5</v>
      </c>
      <c r="F474" s="1" t="str" cm="1">
        <f t="array" ref="F474">_xlfn.IFS(E474&lt;3, "Low (0–3 hrs)", E474&lt;6, "Moderate (3–6 hrs)", E474&lt;8, "High (6–8 hrs)", E474&gt;=8, "Very High (8+ hrs)")</f>
        <v>Moderate (3–6 hrs)</v>
      </c>
      <c r="G474" s="2">
        <v>7</v>
      </c>
      <c r="H474" s="2">
        <v>5</v>
      </c>
      <c r="I474" s="2">
        <v>5</v>
      </c>
      <c r="J474" s="2">
        <v>0</v>
      </c>
      <c r="K474" s="2" t="str" cm="1">
        <f t="array" ref="K474">_xlfn.IFS(Table1[[#This Row],[Exercise_Frequency(week)]]&lt;3, "Beginners (0–2 days)", Table1[[#This Row],[Exercise_Frequency(week)]]&lt;5, "Intermediate (3–4 days)", Table1[[#This Row],[Exercise_Frequency(week)]]&lt;8, "Advanced (5–7 days)")</f>
        <v>Beginners (0–2 days)</v>
      </c>
      <c r="L474" t="s">
        <v>23</v>
      </c>
      <c r="M474" s="2">
        <v>10</v>
      </c>
    </row>
    <row r="475" spans="1:13" x14ac:dyDescent="0.5">
      <c r="A475" t="s">
        <v>398</v>
      </c>
      <c r="B475" s="2">
        <v>40</v>
      </c>
      <c r="C475" s="2" t="str" cm="1">
        <f t="array" ref="C475">_xlfn.IFS(B475&lt;25, "Youth (16–24)", B475&lt;35, "Young Adults (25–34)", B475&lt;45, "Adults (35–44)", B475&lt;55, "Middle-aged (45–54)")</f>
        <v>Adults (35–44)</v>
      </c>
      <c r="D475" t="s">
        <v>11</v>
      </c>
      <c r="E475" s="1">
        <v>4.4000000000000004</v>
      </c>
      <c r="F475" s="1" t="str" cm="1">
        <f t="array" ref="F475">_xlfn.IFS(E475&lt;3, "Low (0–3 hrs)", E475&lt;6, "Moderate (3–6 hrs)", E475&lt;8, "High (6–8 hrs)", E475&gt;=8, "Very High (8+ hrs)")</f>
        <v>Moderate (3–6 hrs)</v>
      </c>
      <c r="G475" s="2">
        <v>7</v>
      </c>
      <c r="H475" s="2">
        <v>5</v>
      </c>
      <c r="I475" s="2">
        <v>4</v>
      </c>
      <c r="J475" s="2">
        <v>0</v>
      </c>
      <c r="K475" s="2" t="str" cm="1">
        <f t="array" ref="K475">_xlfn.IFS(Table1[[#This Row],[Exercise_Frequency(week)]]&lt;3, "Beginners (0–2 days)", Table1[[#This Row],[Exercise_Frequency(week)]]&lt;5, "Intermediate (3–4 days)", Table1[[#This Row],[Exercise_Frequency(week)]]&lt;8, "Advanced (5–7 days)")</f>
        <v>Beginners (0–2 days)</v>
      </c>
      <c r="L475" t="s">
        <v>14</v>
      </c>
      <c r="M475" s="2">
        <v>10</v>
      </c>
    </row>
    <row r="476" spans="1:13" x14ac:dyDescent="0.5">
      <c r="A476" t="s">
        <v>471</v>
      </c>
      <c r="B476" s="2">
        <v>34</v>
      </c>
      <c r="C476" s="2" t="str" cm="1">
        <f t="array" ref="C476">_xlfn.IFS(B476&lt;25, "Youth (16–24)", B476&lt;35, "Young Adults (25–34)", B476&lt;45, "Adults (35–44)", B476&lt;55, "Middle-aged (45–54)")</f>
        <v>Young Adults (25–34)</v>
      </c>
      <c r="D476" t="s">
        <v>11</v>
      </c>
      <c r="E476" s="1">
        <v>3.4</v>
      </c>
      <c r="F476" s="1" t="str" cm="1">
        <f t="array" ref="F476">_xlfn.IFS(E476&lt;3, "Low (0–3 hrs)", E476&lt;6, "Moderate (3–6 hrs)", E476&lt;8, "High (6–8 hrs)", E476&gt;=8, "Very High (8+ hrs)")</f>
        <v>Moderate (3–6 hrs)</v>
      </c>
      <c r="G476" s="2">
        <v>8</v>
      </c>
      <c r="H476" s="2">
        <v>5</v>
      </c>
      <c r="I476" s="2">
        <v>4</v>
      </c>
      <c r="J476" s="2">
        <v>0</v>
      </c>
      <c r="K476" s="2" t="str" cm="1">
        <f t="array" ref="K476">_xlfn.IFS(Table1[[#This Row],[Exercise_Frequency(week)]]&lt;3, "Beginners (0–2 days)", Table1[[#This Row],[Exercise_Frequency(week)]]&lt;5, "Intermediate (3–4 days)", Table1[[#This Row],[Exercise_Frequency(week)]]&lt;8, "Advanced (5–7 days)")</f>
        <v>Beginners (0–2 days)</v>
      </c>
      <c r="L476" t="s">
        <v>19</v>
      </c>
      <c r="M476" s="2">
        <v>10</v>
      </c>
    </row>
    <row r="477" spans="1:13" x14ac:dyDescent="0.5">
      <c r="A477" t="s">
        <v>488</v>
      </c>
      <c r="B477" s="2">
        <v>39</v>
      </c>
      <c r="C477" s="2" t="str" cm="1">
        <f t="array" ref="C477">_xlfn.IFS(B477&lt;25, "Youth (16–24)", B477&lt;35, "Young Adults (25–34)", B477&lt;45, "Adults (35–44)", B477&lt;55, "Middle-aged (45–54)")</f>
        <v>Adults (35–44)</v>
      </c>
      <c r="D477" t="s">
        <v>16</v>
      </c>
      <c r="E477" s="1">
        <v>3</v>
      </c>
      <c r="F477" s="1" t="str" cm="1">
        <f t="array" ref="F477">_xlfn.IFS(E477&lt;3, "Low (0–3 hrs)", E477&lt;6, "Moderate (3–6 hrs)", E477&lt;8, "High (6–8 hrs)", E477&gt;=8, "Very High (8+ hrs)")</f>
        <v>Moderate (3–6 hrs)</v>
      </c>
      <c r="G477" s="2">
        <v>7</v>
      </c>
      <c r="H477" s="2">
        <v>2</v>
      </c>
      <c r="I477" s="2">
        <v>1</v>
      </c>
      <c r="J477" s="2">
        <v>0</v>
      </c>
      <c r="K477" s="2" t="str" cm="1">
        <f t="array" ref="K477">_xlfn.IFS(Table1[[#This Row],[Exercise_Frequency(week)]]&lt;3, "Beginners (0–2 days)", Table1[[#This Row],[Exercise_Frequency(week)]]&lt;5, "Intermediate (3–4 days)", Table1[[#This Row],[Exercise_Frequency(week)]]&lt;8, "Advanced (5–7 days)")</f>
        <v>Beginners (0–2 days)</v>
      </c>
      <c r="L477" t="s">
        <v>12</v>
      </c>
      <c r="M477" s="2">
        <v>10</v>
      </c>
    </row>
    <row r="478" spans="1:13" x14ac:dyDescent="0.5">
      <c r="A478" t="s">
        <v>489</v>
      </c>
      <c r="B478" s="2">
        <v>43</v>
      </c>
      <c r="C478" s="2" t="str" cm="1">
        <f t="array" ref="C478">_xlfn.IFS(B478&lt;25, "Youth (16–24)", B478&lt;35, "Young Adults (25–34)", B478&lt;45, "Adults (35–44)", B478&lt;55, "Middle-aged (45–54)")</f>
        <v>Adults (35–44)</v>
      </c>
      <c r="D478" t="s">
        <v>16</v>
      </c>
      <c r="E478" s="1">
        <v>5.6</v>
      </c>
      <c r="F478" s="1" t="str" cm="1">
        <f t="array" ref="F478">_xlfn.IFS(E478&lt;3, "Low (0–3 hrs)", E478&lt;6, "Moderate (3–6 hrs)", E478&lt;8, "High (6–8 hrs)", E478&gt;=8, "Very High (8+ hrs)")</f>
        <v>Moderate (3–6 hrs)</v>
      </c>
      <c r="G478" s="2">
        <v>8</v>
      </c>
      <c r="H478" s="2">
        <v>6</v>
      </c>
      <c r="I478" s="2">
        <v>2</v>
      </c>
      <c r="J478" s="2">
        <v>0</v>
      </c>
      <c r="K478" s="2" t="str" cm="1">
        <f t="array" ref="K478">_xlfn.IFS(Table1[[#This Row],[Exercise_Frequency(week)]]&lt;3, "Beginners (0–2 days)", Table1[[#This Row],[Exercise_Frequency(week)]]&lt;5, "Intermediate (3–4 days)", Table1[[#This Row],[Exercise_Frequency(week)]]&lt;8, "Advanced (5–7 days)")</f>
        <v>Beginners (0–2 days)</v>
      </c>
      <c r="L478" t="s">
        <v>23</v>
      </c>
      <c r="M478" s="2">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C186-B776-474D-ACEF-464A460C0450}">
  <dimension ref="A3:H143"/>
  <sheetViews>
    <sheetView zoomScale="50" zoomScaleNormal="50" workbookViewId="0">
      <selection activeCell="G42" sqref="G42"/>
    </sheetView>
  </sheetViews>
  <sheetFormatPr defaultRowHeight="15.75" x14ac:dyDescent="0.5"/>
  <cols>
    <col min="1" max="1" width="27.5625" customWidth="1"/>
    <col min="2" max="2" width="29.625" bestFit="1" customWidth="1"/>
    <col min="3" max="3" width="26.3125" bestFit="1" customWidth="1"/>
    <col min="4" max="4" width="29.1875" bestFit="1" customWidth="1"/>
    <col min="5" max="6" width="33.5" bestFit="1" customWidth="1"/>
    <col min="7" max="7" width="32.125" bestFit="1" customWidth="1"/>
    <col min="8" max="8" width="10.3125" bestFit="1" customWidth="1"/>
    <col min="9" max="12" width="5.125" bestFit="1" customWidth="1"/>
    <col min="13" max="13" width="5.125" customWidth="1"/>
    <col min="14" max="21" width="5.125" bestFit="1" customWidth="1"/>
    <col min="22" max="22" width="12.9375" bestFit="1" customWidth="1"/>
    <col min="23" max="23" width="15" bestFit="1" customWidth="1"/>
    <col min="24" max="478" width="5.125" bestFit="1" customWidth="1"/>
    <col min="479" max="479" width="10.625" bestFit="1" customWidth="1"/>
  </cols>
  <sheetData>
    <row r="3" spans="1:7" x14ac:dyDescent="0.5">
      <c r="A3" s="3" t="s">
        <v>520</v>
      </c>
      <c r="B3" t="s">
        <v>531</v>
      </c>
      <c r="C3" t="s">
        <v>532</v>
      </c>
      <c r="D3" t="s">
        <v>533</v>
      </c>
      <c r="E3" t="s">
        <v>534</v>
      </c>
      <c r="F3" t="s">
        <v>546</v>
      </c>
      <c r="G3" t="s">
        <v>547</v>
      </c>
    </row>
    <row r="4" spans="1:7" x14ac:dyDescent="0.5">
      <c r="A4" s="4" t="s">
        <v>526</v>
      </c>
      <c r="B4" s="1">
        <v>5.2901639344262277</v>
      </c>
      <c r="C4" s="2">
        <v>6.5655737704918034</v>
      </c>
      <c r="D4" s="2">
        <v>6.4508196721311473</v>
      </c>
      <c r="E4" s="2">
        <v>8.4262295081967213</v>
      </c>
      <c r="F4" s="2">
        <v>3.3114754098360657</v>
      </c>
      <c r="G4" s="2">
        <v>2.2704918032786887</v>
      </c>
    </row>
    <row r="5" spans="1:7" x14ac:dyDescent="0.5">
      <c r="A5" s="4" t="s">
        <v>525</v>
      </c>
      <c r="B5" s="1">
        <v>5.8208000000000011</v>
      </c>
      <c r="C5" s="2">
        <v>6.056</v>
      </c>
      <c r="D5" s="2">
        <v>6.7519999999999998</v>
      </c>
      <c r="E5" s="2">
        <v>8.1839999999999993</v>
      </c>
      <c r="F5" s="2">
        <v>2.992</v>
      </c>
      <c r="G5" s="2">
        <v>2.56</v>
      </c>
    </row>
    <row r="6" spans="1:7" x14ac:dyDescent="0.5">
      <c r="A6" s="4" t="s">
        <v>523</v>
      </c>
      <c r="B6" s="1">
        <v>5.4360759493670905</v>
      </c>
      <c r="C6" s="2">
        <v>6.3417721518987342</v>
      </c>
      <c r="D6" s="2">
        <v>6.5822784810126587</v>
      </c>
      <c r="E6" s="2">
        <v>8.5</v>
      </c>
      <c r="F6" s="2">
        <v>3.0949367088607596</v>
      </c>
      <c r="G6" s="2">
        <v>2.4050632911392404</v>
      </c>
    </row>
    <row r="7" spans="1:7" x14ac:dyDescent="0.5">
      <c r="A7" s="4" t="s">
        <v>524</v>
      </c>
      <c r="B7" s="1">
        <v>5.7861111111111123</v>
      </c>
      <c r="C7" s="2">
        <v>6.0972222222222223</v>
      </c>
      <c r="D7" s="2">
        <v>6.75</v>
      </c>
      <c r="E7" s="2">
        <v>8.2222222222222214</v>
      </c>
      <c r="F7" s="2">
        <v>3.2083333333333335</v>
      </c>
      <c r="G7" s="2">
        <v>2.6527777777777777</v>
      </c>
    </row>
    <row r="29" spans="1:6" x14ac:dyDescent="0.5">
      <c r="A29" s="3" t="s">
        <v>520</v>
      </c>
      <c r="B29" t="s">
        <v>532</v>
      </c>
      <c r="C29" t="s">
        <v>533</v>
      </c>
      <c r="D29" t="s">
        <v>534</v>
      </c>
      <c r="E29" t="s">
        <v>546</v>
      </c>
      <c r="F29" t="s">
        <v>547</v>
      </c>
    </row>
    <row r="30" spans="1:6" x14ac:dyDescent="0.5">
      <c r="A30" s="4" t="s">
        <v>528</v>
      </c>
      <c r="B30" s="2">
        <v>8.4285714285714288</v>
      </c>
      <c r="C30" s="2">
        <v>4.4000000000000004</v>
      </c>
      <c r="D30" s="2">
        <v>9.8000000000000007</v>
      </c>
      <c r="E30" s="2">
        <v>3.4857142857142858</v>
      </c>
      <c r="F30" s="2">
        <v>2.9428571428571431</v>
      </c>
    </row>
    <row r="31" spans="1:6" x14ac:dyDescent="0.5">
      <c r="A31" s="4" t="s">
        <v>529</v>
      </c>
      <c r="B31" s="2">
        <v>6.9148936170212769</v>
      </c>
      <c r="C31" s="2">
        <v>5.9829787234042557</v>
      </c>
      <c r="D31" s="2">
        <v>9.0978723404255319</v>
      </c>
      <c r="E31" s="2">
        <v>3.0978723404255319</v>
      </c>
      <c r="F31" s="2">
        <v>2.4425531914893619</v>
      </c>
    </row>
    <row r="32" spans="1:6" x14ac:dyDescent="0.5">
      <c r="A32" s="4" t="s">
        <v>527</v>
      </c>
      <c r="B32" s="2">
        <v>5.4161849710982661</v>
      </c>
      <c r="C32" s="2">
        <v>7.5144508670520231</v>
      </c>
      <c r="D32" s="2">
        <v>7.497109826589595</v>
      </c>
      <c r="E32" s="2">
        <v>3.1618497109826591</v>
      </c>
      <c r="F32" s="2">
        <v>2.3930635838150289</v>
      </c>
    </row>
    <row r="33" spans="1:7" x14ac:dyDescent="0.5">
      <c r="A33" s="4" t="s">
        <v>530</v>
      </c>
      <c r="B33" s="2">
        <v>4.1764705882352944</v>
      </c>
      <c r="C33" s="2">
        <v>8.735294117647058</v>
      </c>
      <c r="D33" s="2">
        <v>6.117647058823529</v>
      </c>
      <c r="E33" s="2">
        <v>2.9705882352941178</v>
      </c>
      <c r="F33" s="2">
        <v>2.2647058823529411</v>
      </c>
    </row>
    <row r="34" spans="1:7" x14ac:dyDescent="0.5">
      <c r="A34" s="4"/>
      <c r="B34" s="1"/>
      <c r="C34" s="2"/>
      <c r="D34" s="2"/>
      <c r="E34" s="2"/>
      <c r="F34" s="2"/>
      <c r="G34" s="2"/>
    </row>
    <row r="35" spans="1:7" x14ac:dyDescent="0.5">
      <c r="A35" s="4"/>
      <c r="B35" s="1"/>
      <c r="C35" s="2"/>
      <c r="D35" s="2"/>
      <c r="E35" s="2"/>
      <c r="F35" s="2"/>
      <c r="G35" s="2"/>
    </row>
    <row r="36" spans="1:7" x14ac:dyDescent="0.5">
      <c r="A36" s="4"/>
      <c r="B36" s="1"/>
      <c r="C36" s="2"/>
      <c r="D36" s="2"/>
      <c r="E36" s="2"/>
      <c r="F36" s="2"/>
      <c r="G36" s="2"/>
    </row>
    <row r="37" spans="1:7" x14ac:dyDescent="0.5">
      <c r="A37" s="4"/>
      <c r="B37" s="1"/>
      <c r="C37" s="2"/>
      <c r="D37" s="2"/>
      <c r="E37" s="2"/>
      <c r="F37" s="2"/>
      <c r="G37" s="2"/>
    </row>
    <row r="38" spans="1:7" x14ac:dyDescent="0.5">
      <c r="A38" s="4"/>
      <c r="B38" s="1"/>
      <c r="C38" s="2"/>
      <c r="D38" s="2"/>
      <c r="E38" s="2"/>
      <c r="F38" s="2"/>
      <c r="G38" s="2"/>
    </row>
    <row r="39" spans="1:7" x14ac:dyDescent="0.5">
      <c r="A39" s="4"/>
      <c r="B39" s="1"/>
      <c r="C39" s="2"/>
      <c r="D39" s="2"/>
      <c r="E39" s="2"/>
      <c r="F39" s="2"/>
      <c r="G39" s="2"/>
    </row>
    <row r="40" spans="1:7" x14ac:dyDescent="0.5">
      <c r="A40" s="4"/>
      <c r="B40" s="1"/>
      <c r="C40" s="2"/>
      <c r="D40" s="2"/>
      <c r="E40" s="2"/>
      <c r="F40" s="2"/>
      <c r="G40" s="2"/>
    </row>
    <row r="41" spans="1:7" x14ac:dyDescent="0.5">
      <c r="A41" s="4"/>
      <c r="B41" s="1"/>
      <c r="C41" s="2"/>
      <c r="D41" s="2"/>
      <c r="E41" s="2"/>
      <c r="F41" s="2"/>
      <c r="G41" s="2"/>
    </row>
    <row r="42" spans="1:7" x14ac:dyDescent="0.5">
      <c r="A42" s="4"/>
      <c r="B42" s="1"/>
      <c r="C42" s="2"/>
      <c r="D42" s="2"/>
      <c r="E42" s="2"/>
      <c r="F42" s="2"/>
      <c r="G42" s="2"/>
    </row>
    <row r="43" spans="1:7" x14ac:dyDescent="0.5">
      <c r="A43" s="4"/>
      <c r="B43" s="1"/>
      <c r="C43" s="2"/>
      <c r="D43" s="2"/>
      <c r="E43" s="2"/>
      <c r="F43" s="2"/>
      <c r="G43" s="2"/>
    </row>
    <row r="44" spans="1:7" x14ac:dyDescent="0.5">
      <c r="A44" s="4"/>
      <c r="B44" s="1"/>
      <c r="C44" s="2"/>
      <c r="D44" s="2"/>
      <c r="E44" s="2"/>
      <c r="F44" s="2"/>
      <c r="G44" s="2"/>
    </row>
    <row r="45" spans="1:7" x14ac:dyDescent="0.5">
      <c r="A45" s="4"/>
      <c r="B45" s="1"/>
      <c r="C45" s="2"/>
      <c r="D45" s="2"/>
      <c r="E45" s="2"/>
      <c r="F45" s="2"/>
      <c r="G45" s="2"/>
    </row>
    <row r="46" spans="1:7" x14ac:dyDescent="0.5">
      <c r="A46" s="4"/>
      <c r="B46" s="1"/>
      <c r="C46" s="2"/>
      <c r="D46" s="2"/>
      <c r="E46" s="2"/>
      <c r="F46" s="2"/>
      <c r="G46" s="2"/>
    </row>
    <row r="47" spans="1:7" x14ac:dyDescent="0.5">
      <c r="A47" s="4"/>
      <c r="B47" s="1"/>
      <c r="C47" s="2"/>
      <c r="D47" s="2"/>
      <c r="E47" s="2"/>
      <c r="F47" s="2"/>
      <c r="G47" s="2"/>
    </row>
    <row r="48" spans="1:7" x14ac:dyDescent="0.5">
      <c r="A48" s="4"/>
      <c r="B48" s="1"/>
      <c r="C48" s="2"/>
      <c r="D48" s="2"/>
      <c r="E48" s="2"/>
      <c r="F48" s="2"/>
      <c r="G48" s="2"/>
    </row>
    <row r="49" spans="1:7" x14ac:dyDescent="0.5">
      <c r="A49" s="4"/>
      <c r="B49" s="1"/>
      <c r="C49" s="2"/>
      <c r="D49" s="2"/>
      <c r="E49" s="2"/>
      <c r="F49" s="2"/>
      <c r="G49" s="2"/>
    </row>
    <row r="50" spans="1:7" x14ac:dyDescent="0.5">
      <c r="A50" s="4"/>
      <c r="B50" s="1"/>
      <c r="C50" s="2"/>
      <c r="D50" s="2"/>
      <c r="E50" s="2"/>
      <c r="F50" s="2"/>
      <c r="G50" s="2"/>
    </row>
    <row r="51" spans="1:7" x14ac:dyDescent="0.5">
      <c r="A51" s="4"/>
      <c r="B51" s="1"/>
      <c r="C51" s="2"/>
      <c r="D51" s="2"/>
      <c r="E51" s="2"/>
      <c r="F51" s="2"/>
      <c r="G51" s="2"/>
    </row>
    <row r="61" spans="1:7" x14ac:dyDescent="0.5">
      <c r="A61" s="3" t="s">
        <v>520</v>
      </c>
      <c r="B61" t="s">
        <v>535</v>
      </c>
      <c r="C61" t="s">
        <v>537</v>
      </c>
      <c r="D61" t="s">
        <v>536</v>
      </c>
      <c r="E61" t="s">
        <v>538</v>
      </c>
    </row>
    <row r="62" spans="1:7" x14ac:dyDescent="0.5">
      <c r="A62" s="4" t="s">
        <v>526</v>
      </c>
      <c r="B62" s="1">
        <v>1.8216063130326141</v>
      </c>
      <c r="C62" s="2">
        <v>1.5953843803169248</v>
      </c>
      <c r="D62" s="2">
        <v>1.5803674591866566</v>
      </c>
      <c r="E62" s="2">
        <v>1.5950234216103873</v>
      </c>
    </row>
    <row r="63" spans="1:7" x14ac:dyDescent="0.5">
      <c r="A63" s="4" t="s">
        <v>523</v>
      </c>
      <c r="B63" s="1">
        <v>1.6698227662324037</v>
      </c>
      <c r="C63" s="2">
        <v>1.5342051279102698</v>
      </c>
      <c r="D63" s="2">
        <v>1.4940015513145102</v>
      </c>
      <c r="E63" s="2">
        <v>1.4085724806061699</v>
      </c>
    </row>
    <row r="64" spans="1:7" x14ac:dyDescent="0.5">
      <c r="A64" s="4" t="s">
        <v>525</v>
      </c>
      <c r="B64" s="1">
        <v>1.7434345043527526</v>
      </c>
      <c r="C64" s="2">
        <v>1.4935560509801284</v>
      </c>
      <c r="D64" s="2">
        <v>1.5588250331165994</v>
      </c>
      <c r="E64" s="2">
        <v>1.5522304451461806</v>
      </c>
    </row>
    <row r="65" spans="1:8" x14ac:dyDescent="0.5">
      <c r="A65" s="4" t="s">
        <v>524</v>
      </c>
      <c r="B65" s="1">
        <v>1.7125309131006918</v>
      </c>
      <c r="C65" s="2">
        <v>1.4257167431197166</v>
      </c>
      <c r="D65" s="2">
        <v>1.5722057708568218</v>
      </c>
      <c r="E65" s="2">
        <v>1.6377777990117695</v>
      </c>
    </row>
    <row r="71" spans="1:8" x14ac:dyDescent="0.5">
      <c r="A71" s="3" t="s">
        <v>520</v>
      </c>
      <c r="B71" t="s">
        <v>539</v>
      </c>
      <c r="C71" t="s">
        <v>540</v>
      </c>
      <c r="D71" t="s">
        <v>541</v>
      </c>
      <c r="E71" t="s">
        <v>542</v>
      </c>
    </row>
    <row r="72" spans="1:8" x14ac:dyDescent="0.5">
      <c r="A72" s="4" t="s">
        <v>526</v>
      </c>
      <c r="B72" s="1">
        <v>3.3182495596802744</v>
      </c>
      <c r="C72" s="2">
        <v>2.5452513209592182</v>
      </c>
      <c r="D72" s="2">
        <v>2.4975613060560886</v>
      </c>
      <c r="E72" s="2">
        <v>2.5440997154857077</v>
      </c>
    </row>
    <row r="73" spans="1:8" x14ac:dyDescent="0.5">
      <c r="A73" s="4" t="s">
        <v>523</v>
      </c>
      <c r="B73" s="1">
        <v>2.788308070628037</v>
      </c>
      <c r="C73" s="2">
        <v>2.3537853745061672</v>
      </c>
      <c r="D73" s="2">
        <v>2.2320406353301627</v>
      </c>
      <c r="E73" s="2">
        <v>1.984076433121019</v>
      </c>
    </row>
    <row r="74" spans="1:8" x14ac:dyDescent="0.5">
      <c r="A74" s="4" t="s">
        <v>525</v>
      </c>
      <c r="B74" s="1">
        <v>3.0395638709677284</v>
      </c>
      <c r="C74" s="2">
        <v>2.2307096774193562</v>
      </c>
      <c r="D74" s="2">
        <v>2.4299354838709668</v>
      </c>
      <c r="E74" s="2">
        <v>2.4094193548387097</v>
      </c>
    </row>
    <row r="75" spans="1:8" x14ac:dyDescent="0.5">
      <c r="A75" s="4" t="s">
        <v>524</v>
      </c>
      <c r="B75" s="1">
        <v>2.9327621283254892</v>
      </c>
      <c r="C75" s="2">
        <v>2.032668231611892</v>
      </c>
      <c r="D75" s="2">
        <v>2.471830985915493</v>
      </c>
      <c r="E75" s="2">
        <v>2.682316118935836</v>
      </c>
    </row>
    <row r="79" spans="1:8" x14ac:dyDescent="0.5">
      <c r="A79" s="3" t="s">
        <v>544</v>
      </c>
      <c r="B79" s="3" t="s">
        <v>543</v>
      </c>
    </row>
    <row r="80" spans="1:8" x14ac:dyDescent="0.5">
      <c r="A80" s="3" t="s">
        <v>520</v>
      </c>
      <c r="B80" t="s">
        <v>12</v>
      </c>
      <c r="C80" t="s">
        <v>23</v>
      </c>
      <c r="D80" t="s">
        <v>13</v>
      </c>
      <c r="E80" t="s">
        <v>17</v>
      </c>
      <c r="F80" t="s">
        <v>19</v>
      </c>
      <c r="G80" t="s">
        <v>14</v>
      </c>
      <c r="H80" t="s">
        <v>495</v>
      </c>
    </row>
    <row r="81" spans="1:8" x14ac:dyDescent="0.5">
      <c r="A81" s="4" t="s">
        <v>526</v>
      </c>
      <c r="B81">
        <v>13</v>
      </c>
      <c r="C81">
        <v>15</v>
      </c>
      <c r="D81">
        <v>20</v>
      </c>
      <c r="E81">
        <v>22</v>
      </c>
      <c r="F81">
        <v>30</v>
      </c>
      <c r="G81">
        <v>22</v>
      </c>
      <c r="H81">
        <v>122</v>
      </c>
    </row>
    <row r="82" spans="1:8" x14ac:dyDescent="0.5">
      <c r="A82" s="4" t="s">
        <v>525</v>
      </c>
      <c r="B82">
        <v>25</v>
      </c>
      <c r="C82">
        <v>19</v>
      </c>
      <c r="D82">
        <v>18</v>
      </c>
      <c r="E82">
        <v>25</v>
      </c>
      <c r="F82">
        <v>23</v>
      </c>
      <c r="G82">
        <v>15</v>
      </c>
      <c r="H82">
        <v>125</v>
      </c>
    </row>
    <row r="83" spans="1:8" x14ac:dyDescent="0.5">
      <c r="A83" s="4" t="s">
        <v>523</v>
      </c>
      <c r="B83">
        <v>29</v>
      </c>
      <c r="C83">
        <v>24</v>
      </c>
      <c r="D83">
        <v>31</v>
      </c>
      <c r="E83">
        <v>33</v>
      </c>
      <c r="F83">
        <v>20</v>
      </c>
      <c r="G83">
        <v>21</v>
      </c>
      <c r="H83">
        <v>158</v>
      </c>
    </row>
    <row r="84" spans="1:8" x14ac:dyDescent="0.5">
      <c r="A84" s="4" t="s">
        <v>524</v>
      </c>
      <c r="B84">
        <v>13</v>
      </c>
      <c r="C84">
        <v>13</v>
      </c>
      <c r="D84">
        <v>14</v>
      </c>
      <c r="E84">
        <v>12</v>
      </c>
      <c r="F84">
        <v>9</v>
      </c>
      <c r="G84">
        <v>11</v>
      </c>
      <c r="H84">
        <v>72</v>
      </c>
    </row>
    <row r="85" spans="1:8" x14ac:dyDescent="0.5">
      <c r="A85" s="4" t="s">
        <v>495</v>
      </c>
      <c r="B85">
        <v>80</v>
      </c>
      <c r="C85">
        <v>71</v>
      </c>
      <c r="D85">
        <v>83</v>
      </c>
      <c r="E85">
        <v>92</v>
      </c>
      <c r="F85">
        <v>82</v>
      </c>
      <c r="G85">
        <v>69</v>
      </c>
      <c r="H85">
        <v>477</v>
      </c>
    </row>
    <row r="105" spans="1:8" x14ac:dyDescent="0.5">
      <c r="A105" s="3" t="s">
        <v>544</v>
      </c>
      <c r="B105" s="3" t="s">
        <v>543</v>
      </c>
    </row>
    <row r="106" spans="1:8" x14ac:dyDescent="0.5">
      <c r="A106" s="3" t="s">
        <v>520</v>
      </c>
      <c r="B106" t="s">
        <v>12</v>
      </c>
      <c r="C106" t="s">
        <v>23</v>
      </c>
      <c r="D106" t="s">
        <v>13</v>
      </c>
      <c r="E106" t="s">
        <v>17</v>
      </c>
      <c r="F106" t="s">
        <v>19</v>
      </c>
      <c r="G106" t="s">
        <v>14</v>
      </c>
      <c r="H106" t="s">
        <v>495</v>
      </c>
    </row>
    <row r="107" spans="1:8" x14ac:dyDescent="0.5">
      <c r="A107" s="4" t="s">
        <v>526</v>
      </c>
      <c r="B107" s="5">
        <v>2.7253668763102725E-2</v>
      </c>
      <c r="C107" s="5">
        <v>3.1446540880503145E-2</v>
      </c>
      <c r="D107" s="5">
        <v>4.1928721174004195E-2</v>
      </c>
      <c r="E107" s="5">
        <v>4.6121593291404611E-2</v>
      </c>
      <c r="F107" s="5">
        <v>6.2893081761006289E-2</v>
      </c>
      <c r="G107" s="5">
        <v>4.6121593291404611E-2</v>
      </c>
      <c r="H107" s="5">
        <v>0.25576519916142559</v>
      </c>
    </row>
    <row r="108" spans="1:8" x14ac:dyDescent="0.5">
      <c r="A108" s="4" t="s">
        <v>525</v>
      </c>
      <c r="B108" s="5">
        <v>5.2410901467505239E-2</v>
      </c>
      <c r="C108" s="5">
        <v>3.9832285115303984E-2</v>
      </c>
      <c r="D108" s="5">
        <v>3.7735849056603772E-2</v>
      </c>
      <c r="E108" s="5">
        <v>5.2410901467505239E-2</v>
      </c>
      <c r="F108" s="5">
        <v>4.8218029350104823E-2</v>
      </c>
      <c r="G108" s="5">
        <v>3.1446540880503145E-2</v>
      </c>
      <c r="H108" s="5">
        <v>0.26205450733752622</v>
      </c>
    </row>
    <row r="109" spans="1:8" x14ac:dyDescent="0.5">
      <c r="A109" s="4" t="s">
        <v>523</v>
      </c>
      <c r="B109" s="5">
        <v>6.0796645702306078E-2</v>
      </c>
      <c r="C109" s="5">
        <v>5.0314465408805034E-2</v>
      </c>
      <c r="D109" s="5">
        <v>6.4989517819706494E-2</v>
      </c>
      <c r="E109" s="5">
        <v>6.9182389937106917E-2</v>
      </c>
      <c r="F109" s="5">
        <v>4.1928721174004195E-2</v>
      </c>
      <c r="G109" s="5">
        <v>4.40251572327044E-2</v>
      </c>
      <c r="H109" s="5">
        <v>0.33123689727463312</v>
      </c>
    </row>
    <row r="110" spans="1:8" x14ac:dyDescent="0.5">
      <c r="A110" s="4" t="s">
        <v>524</v>
      </c>
      <c r="B110" s="5">
        <v>2.7253668763102725E-2</v>
      </c>
      <c r="C110" s="5">
        <v>2.7253668763102725E-2</v>
      </c>
      <c r="D110" s="5">
        <v>2.9350104821802937E-2</v>
      </c>
      <c r="E110" s="5">
        <v>2.5157232704402517E-2</v>
      </c>
      <c r="F110" s="5">
        <v>1.8867924528301886E-2</v>
      </c>
      <c r="G110" s="5">
        <v>2.3060796645702306E-2</v>
      </c>
      <c r="H110" s="5">
        <v>0.15094339622641509</v>
      </c>
    </row>
    <row r="111" spans="1:8" x14ac:dyDescent="0.5">
      <c r="A111" s="4" t="s">
        <v>495</v>
      </c>
      <c r="B111" s="5">
        <v>0.16771488469601678</v>
      </c>
      <c r="C111" s="5">
        <v>0.1488469601677149</v>
      </c>
      <c r="D111" s="5">
        <v>0.17400419287211741</v>
      </c>
      <c r="E111" s="5">
        <v>0.19287211740041929</v>
      </c>
      <c r="F111" s="5">
        <v>0.17190775681341719</v>
      </c>
      <c r="G111" s="5">
        <v>0.14465408805031446</v>
      </c>
      <c r="H111" s="5">
        <v>1</v>
      </c>
    </row>
    <row r="136" spans="1:2" x14ac:dyDescent="0.5">
      <c r="A136" s="3" t="s">
        <v>520</v>
      </c>
      <c r="B136" t="s">
        <v>545</v>
      </c>
    </row>
    <row r="137" spans="1:2" x14ac:dyDescent="0.5">
      <c r="A137" s="4" t="s">
        <v>17</v>
      </c>
      <c r="B137">
        <v>92</v>
      </c>
    </row>
    <row r="138" spans="1:2" x14ac:dyDescent="0.5">
      <c r="A138" s="4" t="s">
        <v>13</v>
      </c>
      <c r="B138">
        <v>83</v>
      </c>
    </row>
    <row r="139" spans="1:2" x14ac:dyDescent="0.5">
      <c r="A139" s="4" t="s">
        <v>19</v>
      </c>
      <c r="B139">
        <v>82</v>
      </c>
    </row>
    <row r="140" spans="1:2" x14ac:dyDescent="0.5">
      <c r="A140" s="4" t="s">
        <v>12</v>
      </c>
      <c r="B140">
        <v>80</v>
      </c>
    </row>
    <row r="141" spans="1:2" x14ac:dyDescent="0.5">
      <c r="A141" s="4" t="s">
        <v>23</v>
      </c>
      <c r="B141">
        <v>71</v>
      </c>
    </row>
    <row r="142" spans="1:2" x14ac:dyDescent="0.5">
      <c r="A142" s="4" t="s">
        <v>14</v>
      </c>
      <c r="B142">
        <v>69</v>
      </c>
    </row>
    <row r="143" spans="1:2" x14ac:dyDescent="0.5">
      <c r="A143" s="4" t="s">
        <v>495</v>
      </c>
      <c r="B143">
        <v>477</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99B7-5681-4C24-8438-D5FE941A4AC1}">
  <dimension ref="A3:F78"/>
  <sheetViews>
    <sheetView topLeftCell="A82" zoomScale="80" zoomScaleNormal="80" workbookViewId="0">
      <selection activeCell="D74" sqref="D74"/>
    </sheetView>
  </sheetViews>
  <sheetFormatPr defaultRowHeight="15.75" x14ac:dyDescent="0.5"/>
  <cols>
    <col min="1" max="1" width="16.25" bestFit="1" customWidth="1"/>
    <col min="2" max="2" width="25.75" bestFit="1" customWidth="1"/>
    <col min="3" max="3" width="24.625" bestFit="1" customWidth="1"/>
    <col min="4" max="4" width="26.875" bestFit="1" customWidth="1"/>
    <col min="5" max="5" width="18.0625" bestFit="1" customWidth="1"/>
    <col min="6" max="6" width="10.625" bestFit="1" customWidth="1"/>
    <col min="7" max="80" width="3.4375" bestFit="1" customWidth="1"/>
    <col min="81" max="82" width="4.4375" bestFit="1" customWidth="1"/>
    <col min="83" max="83" width="10.625" bestFit="1" customWidth="1"/>
    <col min="84" max="84" width="4.75" bestFit="1" customWidth="1"/>
    <col min="85" max="85" width="7.1875" bestFit="1" customWidth="1"/>
    <col min="86" max="86" width="6.8125" bestFit="1" customWidth="1"/>
    <col min="87" max="87" width="4.75" bestFit="1" customWidth="1"/>
    <col min="88" max="88" width="7.1875" bestFit="1" customWidth="1"/>
    <col min="89" max="89" width="6.8125" bestFit="1" customWidth="1"/>
    <col min="90" max="90" width="4.75" bestFit="1" customWidth="1"/>
    <col min="91" max="91" width="7.1875" bestFit="1" customWidth="1"/>
    <col min="92" max="92" width="6.8125" bestFit="1" customWidth="1"/>
    <col min="93" max="93" width="4.75" bestFit="1" customWidth="1"/>
    <col min="94" max="94" width="7.1875" bestFit="1" customWidth="1"/>
    <col min="95" max="95" width="6.8125" bestFit="1" customWidth="1"/>
    <col min="96" max="96" width="4.75" bestFit="1" customWidth="1"/>
    <col min="97" max="97" width="7.1875" bestFit="1" customWidth="1"/>
    <col min="98" max="98" width="6.8125" bestFit="1" customWidth="1"/>
    <col min="99" max="99" width="4.75" bestFit="1" customWidth="1"/>
    <col min="100" max="100" width="7.1875" bestFit="1" customWidth="1"/>
    <col min="101" max="101" width="6.8125" bestFit="1" customWidth="1"/>
    <col min="102" max="102" width="4.75" bestFit="1" customWidth="1"/>
    <col min="103" max="103" width="7.1875" bestFit="1" customWidth="1"/>
  </cols>
  <sheetData>
    <row r="3" spans="1:6" x14ac:dyDescent="0.5">
      <c r="A3" s="3" t="s">
        <v>545</v>
      </c>
      <c r="B3" s="3" t="s">
        <v>543</v>
      </c>
    </row>
    <row r="4" spans="1:6" x14ac:dyDescent="0.5">
      <c r="A4" s="3" t="s">
        <v>520</v>
      </c>
      <c r="B4" t="s">
        <v>526</v>
      </c>
      <c r="C4" t="s">
        <v>525</v>
      </c>
      <c r="D4" t="s">
        <v>523</v>
      </c>
      <c r="E4" t="s">
        <v>524</v>
      </c>
      <c r="F4" t="s">
        <v>495</v>
      </c>
    </row>
    <row r="5" spans="1:6" x14ac:dyDescent="0.5">
      <c r="A5" s="4" t="s">
        <v>16</v>
      </c>
      <c r="B5">
        <v>55</v>
      </c>
      <c r="C5">
        <v>56</v>
      </c>
      <c r="D5">
        <v>83</v>
      </c>
      <c r="E5">
        <v>35</v>
      </c>
      <c r="F5">
        <v>229</v>
      </c>
    </row>
    <row r="6" spans="1:6" x14ac:dyDescent="0.5">
      <c r="A6" s="4" t="s">
        <v>11</v>
      </c>
      <c r="B6">
        <v>67</v>
      </c>
      <c r="C6">
        <v>69</v>
      </c>
      <c r="D6">
        <v>75</v>
      </c>
      <c r="E6">
        <v>37</v>
      </c>
      <c r="F6">
        <v>248</v>
      </c>
    </row>
    <row r="7" spans="1:6" x14ac:dyDescent="0.5">
      <c r="A7" s="4" t="s">
        <v>495</v>
      </c>
      <c r="B7">
        <v>122</v>
      </c>
      <c r="C7">
        <v>125</v>
      </c>
      <c r="D7">
        <v>158</v>
      </c>
      <c r="E7">
        <v>72</v>
      </c>
      <c r="F7">
        <v>477</v>
      </c>
    </row>
    <row r="19" spans="1:4" x14ac:dyDescent="0.5">
      <c r="A19" s="3" t="s">
        <v>545</v>
      </c>
      <c r="B19" s="3" t="s">
        <v>543</v>
      </c>
    </row>
    <row r="20" spans="1:4" x14ac:dyDescent="0.5">
      <c r="A20" s="3" t="s">
        <v>520</v>
      </c>
      <c r="B20" t="s">
        <v>16</v>
      </c>
      <c r="C20" t="s">
        <v>11</v>
      </c>
      <c r="D20" t="s">
        <v>495</v>
      </c>
    </row>
    <row r="21" spans="1:4" x14ac:dyDescent="0.5">
      <c r="A21" s="4" t="s">
        <v>526</v>
      </c>
      <c r="B21">
        <v>55</v>
      </c>
      <c r="C21">
        <v>67</v>
      </c>
      <c r="D21">
        <v>122</v>
      </c>
    </row>
    <row r="22" spans="1:4" x14ac:dyDescent="0.5">
      <c r="A22" s="4" t="s">
        <v>525</v>
      </c>
      <c r="B22">
        <v>56</v>
      </c>
      <c r="C22">
        <v>69</v>
      </c>
      <c r="D22">
        <v>125</v>
      </c>
    </row>
    <row r="23" spans="1:4" x14ac:dyDescent="0.5">
      <c r="A23" s="4" t="s">
        <v>523</v>
      </c>
      <c r="B23">
        <v>83</v>
      </c>
      <c r="C23">
        <v>75</v>
      </c>
      <c r="D23">
        <v>158</v>
      </c>
    </row>
    <row r="24" spans="1:4" x14ac:dyDescent="0.5">
      <c r="A24" s="4" t="s">
        <v>524</v>
      </c>
      <c r="B24">
        <v>35</v>
      </c>
      <c r="C24">
        <v>37</v>
      </c>
      <c r="D24">
        <v>72</v>
      </c>
    </row>
    <row r="25" spans="1:4" x14ac:dyDescent="0.5">
      <c r="A25" s="4" t="s">
        <v>495</v>
      </c>
      <c r="B25">
        <v>229</v>
      </c>
      <c r="C25">
        <v>248</v>
      </c>
      <c r="D25">
        <v>477</v>
      </c>
    </row>
    <row r="38" spans="1:4" x14ac:dyDescent="0.5">
      <c r="A38" s="3" t="s">
        <v>545</v>
      </c>
      <c r="B38" s="3" t="s">
        <v>543</v>
      </c>
    </row>
    <row r="39" spans="1:4" x14ac:dyDescent="0.5">
      <c r="A39" s="3" t="s">
        <v>520</v>
      </c>
      <c r="B39" t="s">
        <v>16</v>
      </c>
      <c r="C39" t="s">
        <v>11</v>
      </c>
      <c r="D39" t="s">
        <v>495</v>
      </c>
    </row>
    <row r="40" spans="1:4" x14ac:dyDescent="0.5">
      <c r="A40" s="4" t="s">
        <v>528</v>
      </c>
      <c r="B40" s="5">
        <v>3.7735849056603772E-2</v>
      </c>
      <c r="C40" s="5">
        <v>3.5639412997903561E-2</v>
      </c>
      <c r="D40" s="5">
        <v>7.337526205450734E-2</v>
      </c>
    </row>
    <row r="41" spans="1:4" x14ac:dyDescent="0.5">
      <c r="A41" s="4" t="s">
        <v>529</v>
      </c>
      <c r="B41" s="5">
        <v>0.24528301886792453</v>
      </c>
      <c r="C41" s="5">
        <v>0.24737945492662475</v>
      </c>
      <c r="D41" s="5">
        <v>0.49266247379454925</v>
      </c>
    </row>
    <row r="42" spans="1:4" x14ac:dyDescent="0.5">
      <c r="A42" s="4" t="s">
        <v>527</v>
      </c>
      <c r="B42" s="5">
        <v>0.15932914046121593</v>
      </c>
      <c r="C42" s="5">
        <v>0.20335429769392033</v>
      </c>
      <c r="D42" s="5">
        <v>0.36268343815513626</v>
      </c>
    </row>
    <row r="43" spans="1:4" x14ac:dyDescent="0.5">
      <c r="A43" s="4" t="s">
        <v>530</v>
      </c>
      <c r="B43" s="5">
        <v>3.7735849056603772E-2</v>
      </c>
      <c r="C43" s="5">
        <v>3.3542976939203356E-2</v>
      </c>
      <c r="D43" s="5">
        <v>7.1278825995807121E-2</v>
      </c>
    </row>
    <row r="44" spans="1:4" x14ac:dyDescent="0.5">
      <c r="A44" s="4" t="s">
        <v>495</v>
      </c>
      <c r="B44" s="5">
        <v>0.48008385744234799</v>
      </c>
      <c r="C44" s="5">
        <v>0.51991614255765195</v>
      </c>
      <c r="D44" s="5">
        <v>1</v>
      </c>
    </row>
    <row r="57" spans="1:2" x14ac:dyDescent="0.5">
      <c r="A57" s="3" t="s">
        <v>520</v>
      </c>
      <c r="B57" t="s">
        <v>531</v>
      </c>
    </row>
    <row r="58" spans="1:2" x14ac:dyDescent="0.5">
      <c r="A58" s="4" t="s">
        <v>13</v>
      </c>
      <c r="B58" s="1">
        <v>5.2734939759036141</v>
      </c>
    </row>
    <row r="59" spans="1:2" x14ac:dyDescent="0.5">
      <c r="A59" s="4" t="s">
        <v>19</v>
      </c>
      <c r="B59" s="1">
        <v>5.418292682926829</v>
      </c>
    </row>
    <row r="60" spans="1:2" x14ac:dyDescent="0.5">
      <c r="A60" s="4" t="s">
        <v>17</v>
      </c>
      <c r="B60" s="1">
        <v>5.436956521739134</v>
      </c>
    </row>
    <row r="61" spans="1:2" x14ac:dyDescent="0.5">
      <c r="A61" s="4" t="s">
        <v>14</v>
      </c>
      <c r="B61" s="1">
        <v>5.536231884057969</v>
      </c>
    </row>
    <row r="62" spans="1:2" x14ac:dyDescent="0.5">
      <c r="A62" s="4" t="s">
        <v>12</v>
      </c>
      <c r="B62" s="1">
        <v>5.6712500000000023</v>
      </c>
    </row>
    <row r="63" spans="1:2" x14ac:dyDescent="0.5">
      <c r="A63" s="4" t="s">
        <v>23</v>
      </c>
      <c r="B63" s="1">
        <v>6.0647887323943639</v>
      </c>
    </row>
    <row r="64" spans="1:2" x14ac:dyDescent="0.5">
      <c r="A64" s="4" t="s">
        <v>495</v>
      </c>
      <c r="B64" s="1">
        <v>5.5524109014675016</v>
      </c>
    </row>
    <row r="74" spans="1:4" x14ac:dyDescent="0.5">
      <c r="A74" s="3" t="s">
        <v>520</v>
      </c>
      <c r="B74" t="s">
        <v>552</v>
      </c>
      <c r="C74" t="s">
        <v>553</v>
      </c>
      <c r="D74" t="s">
        <v>554</v>
      </c>
    </row>
    <row r="75" spans="1:4" x14ac:dyDescent="0.5">
      <c r="A75" s="4" t="s">
        <v>528</v>
      </c>
      <c r="B75" s="2">
        <v>4.4000000000000004</v>
      </c>
      <c r="C75" s="2">
        <v>9.8000000000000007</v>
      </c>
      <c r="D75" s="2">
        <v>8.4285714285714288</v>
      </c>
    </row>
    <row r="76" spans="1:4" x14ac:dyDescent="0.5">
      <c r="A76" s="4" t="s">
        <v>529</v>
      </c>
      <c r="B76" s="2">
        <v>5.9829787234042557</v>
      </c>
      <c r="C76" s="2">
        <v>9.0978723404255319</v>
      </c>
      <c r="D76" s="2">
        <v>6.9148936170212769</v>
      </c>
    </row>
    <row r="77" spans="1:4" x14ac:dyDescent="0.5">
      <c r="A77" s="4" t="s">
        <v>527</v>
      </c>
      <c r="B77" s="2">
        <v>7.5144508670520231</v>
      </c>
      <c r="C77" s="2">
        <v>7.497109826589595</v>
      </c>
      <c r="D77" s="2">
        <v>5.4161849710982661</v>
      </c>
    </row>
    <row r="78" spans="1:4" x14ac:dyDescent="0.5">
      <c r="A78" s="4" t="s">
        <v>530</v>
      </c>
      <c r="B78" s="2">
        <v>8.735294117647058</v>
      </c>
      <c r="C78" s="2">
        <v>6.117647058823529</v>
      </c>
      <c r="D78" s="2">
        <v>4.1764705882352944</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79476-CAA0-48B4-9E74-BB803CBAA321}">
  <dimension ref="A3:E36"/>
  <sheetViews>
    <sheetView zoomScale="80" zoomScaleNormal="80" workbookViewId="0">
      <selection activeCell="B33" sqref="B33"/>
    </sheetView>
  </sheetViews>
  <sheetFormatPr defaultRowHeight="15.75" x14ac:dyDescent="0.5"/>
  <cols>
    <col min="1" max="1" width="16.25" bestFit="1" customWidth="1"/>
    <col min="2" max="2" width="18.4375" bestFit="1" customWidth="1"/>
    <col min="3" max="3" width="20.875" bestFit="1" customWidth="1"/>
    <col min="4" max="4" width="18.25" bestFit="1" customWidth="1"/>
    <col min="5" max="6" width="10.625" bestFit="1" customWidth="1"/>
    <col min="7" max="7" width="27.5" bestFit="1" customWidth="1"/>
    <col min="8" max="8" width="19.625" bestFit="1" customWidth="1"/>
    <col min="9" max="9" width="32.125" bestFit="1" customWidth="1"/>
    <col min="10" max="10" width="17.6875" bestFit="1" customWidth="1"/>
    <col min="11" max="11" width="17.8125" bestFit="1" customWidth="1"/>
    <col min="12" max="12" width="20.25" bestFit="1" customWidth="1"/>
    <col min="13" max="13" width="12.3125" bestFit="1" customWidth="1"/>
    <col min="14" max="14" width="17.6875" bestFit="1" customWidth="1"/>
    <col min="15" max="15" width="17.8125" bestFit="1" customWidth="1"/>
    <col min="16" max="16" width="20.25" bestFit="1" customWidth="1"/>
    <col min="17" max="17" width="10.375" bestFit="1" customWidth="1"/>
    <col min="18" max="18" width="17.6875" bestFit="1" customWidth="1"/>
    <col min="19" max="19" width="17.8125" bestFit="1" customWidth="1"/>
    <col min="20" max="20" width="20.25" bestFit="1" customWidth="1"/>
    <col min="21" max="21" width="13.625" bestFit="1" customWidth="1"/>
    <col min="22" max="22" width="17.6875" bestFit="1" customWidth="1"/>
    <col min="23" max="23" width="17.8125" bestFit="1" customWidth="1"/>
    <col min="24" max="24" width="20.25" bestFit="1" customWidth="1"/>
    <col min="25" max="25" width="12.375" bestFit="1" customWidth="1"/>
    <col min="26" max="26" width="10.3125" bestFit="1" customWidth="1"/>
  </cols>
  <sheetData>
    <row r="3" spans="1:5" x14ac:dyDescent="0.5">
      <c r="A3" s="3" t="s">
        <v>545</v>
      </c>
      <c r="B3" s="3" t="s">
        <v>543</v>
      </c>
    </row>
    <row r="4" spans="1:5" x14ac:dyDescent="0.5">
      <c r="A4" s="3" t="s">
        <v>520</v>
      </c>
      <c r="B4" t="s">
        <v>549</v>
      </c>
      <c r="C4" t="s">
        <v>551</v>
      </c>
      <c r="D4" t="s">
        <v>550</v>
      </c>
      <c r="E4" t="s">
        <v>495</v>
      </c>
    </row>
    <row r="5" spans="1:5" x14ac:dyDescent="0.5">
      <c r="A5" s="4" t="s">
        <v>14</v>
      </c>
      <c r="B5" s="5">
        <v>1.6771488469601678E-2</v>
      </c>
      <c r="C5" s="5">
        <v>6.2893081761006289E-2</v>
      </c>
      <c r="D5" s="5">
        <v>6.4989517819706494E-2</v>
      </c>
      <c r="E5" s="5">
        <v>0.14465408805031446</v>
      </c>
    </row>
    <row r="6" spans="1:5" x14ac:dyDescent="0.5">
      <c r="A6" s="4" t="s">
        <v>23</v>
      </c>
      <c r="B6" s="5">
        <v>1.2578616352201259E-2</v>
      </c>
      <c r="C6" s="5">
        <v>6.0796645702306078E-2</v>
      </c>
      <c r="D6" s="5">
        <v>7.5471698113207544E-2</v>
      </c>
      <c r="E6" s="5">
        <v>0.1488469601677149</v>
      </c>
    </row>
    <row r="7" spans="1:5" x14ac:dyDescent="0.5">
      <c r="A7" s="4" t="s">
        <v>12</v>
      </c>
      <c r="B7" s="5">
        <v>1.0482180293501049E-2</v>
      </c>
      <c r="C7" s="5">
        <v>5.2410901467505239E-2</v>
      </c>
      <c r="D7" s="5">
        <v>0.10482180293501048</v>
      </c>
      <c r="E7" s="5">
        <v>0.16771488469601678</v>
      </c>
    </row>
    <row r="8" spans="1:5" x14ac:dyDescent="0.5">
      <c r="A8" s="4" t="s">
        <v>19</v>
      </c>
      <c r="B8" s="5">
        <v>8.385744234800839E-3</v>
      </c>
      <c r="C8" s="5">
        <v>5.0314465408805034E-2</v>
      </c>
      <c r="D8" s="5">
        <v>0.11320754716981132</v>
      </c>
      <c r="E8" s="5">
        <v>0.17190775681341719</v>
      </c>
    </row>
    <row r="9" spans="1:5" x14ac:dyDescent="0.5">
      <c r="A9" s="4" t="s">
        <v>13</v>
      </c>
      <c r="B9" s="5">
        <v>1.4675052410901468E-2</v>
      </c>
      <c r="C9" s="5">
        <v>7.1278825995807121E-2</v>
      </c>
      <c r="D9" s="5">
        <v>8.8050314465408799E-2</v>
      </c>
      <c r="E9" s="5">
        <v>0.17400419287211741</v>
      </c>
    </row>
    <row r="10" spans="1:5" x14ac:dyDescent="0.5">
      <c r="A10" s="4" t="s">
        <v>17</v>
      </c>
      <c r="B10" s="5">
        <v>1.8867924528301886E-2</v>
      </c>
      <c r="C10" s="5">
        <v>9.0146750524109018E-2</v>
      </c>
      <c r="D10" s="5">
        <v>8.385744234800839E-2</v>
      </c>
      <c r="E10" s="5">
        <v>0.19287211740041929</v>
      </c>
    </row>
    <row r="11" spans="1:5" x14ac:dyDescent="0.5">
      <c r="A11" s="4" t="s">
        <v>495</v>
      </c>
      <c r="B11" s="5">
        <v>8.1761006289308172E-2</v>
      </c>
      <c r="C11" s="5">
        <v>0.38784067085953877</v>
      </c>
      <c r="D11" s="5">
        <v>0.53039832285115307</v>
      </c>
      <c r="E11" s="5">
        <v>1</v>
      </c>
    </row>
    <row r="30" spans="1:5" x14ac:dyDescent="0.5">
      <c r="A30" s="3" t="s">
        <v>545</v>
      </c>
      <c r="B30" s="3" t="s">
        <v>543</v>
      </c>
    </row>
    <row r="31" spans="1:5" x14ac:dyDescent="0.5">
      <c r="A31" s="3" t="s">
        <v>520</v>
      </c>
      <c r="B31" t="s">
        <v>550</v>
      </c>
      <c r="C31" t="s">
        <v>551</v>
      </c>
      <c r="D31" t="s">
        <v>549</v>
      </c>
      <c r="E31" t="s">
        <v>495</v>
      </c>
    </row>
    <row r="32" spans="1:5" x14ac:dyDescent="0.5">
      <c r="A32" s="4" t="s">
        <v>528</v>
      </c>
      <c r="B32" s="5">
        <v>2.9350104821802937E-2</v>
      </c>
      <c r="C32" s="5">
        <v>2.7253668763102725E-2</v>
      </c>
      <c r="D32" s="5">
        <v>1.6771488469601678E-2</v>
      </c>
      <c r="E32" s="5">
        <v>7.337526205450734E-2</v>
      </c>
    </row>
    <row r="33" spans="1:5" x14ac:dyDescent="0.5">
      <c r="A33" s="4" t="s">
        <v>529</v>
      </c>
      <c r="B33" s="5">
        <v>0.2662473794549266</v>
      </c>
      <c r="C33" s="5">
        <v>0.18029350104821804</v>
      </c>
      <c r="D33" s="5">
        <v>4.6121593291404611E-2</v>
      </c>
      <c r="E33" s="5">
        <v>0.49266247379454925</v>
      </c>
    </row>
    <row r="34" spans="1:5" x14ac:dyDescent="0.5">
      <c r="A34" s="4" t="s">
        <v>527</v>
      </c>
      <c r="B34" s="5">
        <v>0.19287211740041929</v>
      </c>
      <c r="C34" s="5">
        <v>0.15303983228511531</v>
      </c>
      <c r="D34" s="5">
        <v>1.6771488469601678E-2</v>
      </c>
      <c r="E34" s="5">
        <v>0.36268343815513626</v>
      </c>
    </row>
    <row r="35" spans="1:5" x14ac:dyDescent="0.5">
      <c r="A35" s="4" t="s">
        <v>530</v>
      </c>
      <c r="B35" s="5">
        <v>4.1928721174004195E-2</v>
      </c>
      <c r="C35" s="5">
        <v>2.7253668763102725E-2</v>
      </c>
      <c r="D35" s="5">
        <v>2.0964360587002098E-3</v>
      </c>
      <c r="E35" s="5">
        <v>7.1278825995807121E-2</v>
      </c>
    </row>
    <row r="36" spans="1:5" x14ac:dyDescent="0.5">
      <c r="A36" s="4" t="s">
        <v>495</v>
      </c>
      <c r="B36" s="5">
        <v>0.53039832285115307</v>
      </c>
      <c r="C36" s="5">
        <v>0.38784067085953877</v>
      </c>
      <c r="D36" s="5">
        <v>8.1761006289308172E-2</v>
      </c>
      <c r="E36" s="5">
        <v>1</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D7413-12A7-4039-86F6-0B12E8A2B3F1}">
  <dimension ref="V17:V20"/>
  <sheetViews>
    <sheetView showGridLines="0" showRowColHeaders="0" tabSelected="1" zoomScale="70" zoomScaleNormal="70" workbookViewId="0">
      <selection activeCell="D40" sqref="D40"/>
    </sheetView>
  </sheetViews>
  <sheetFormatPr defaultRowHeight="15.75" x14ac:dyDescent="0.5"/>
  <cols>
    <col min="22" max="22" width="15.6875" bestFit="1" customWidth="1"/>
    <col min="23" max="23" width="17.5" bestFit="1" customWidth="1"/>
  </cols>
  <sheetData>
    <row r="17" spans="22:22" x14ac:dyDescent="0.5">
      <c r="V17" s="4"/>
    </row>
    <row r="18" spans="22:22" x14ac:dyDescent="0.5">
      <c r="V18" s="4"/>
    </row>
    <row r="19" spans="22:22" x14ac:dyDescent="0.5">
      <c r="V19" s="4"/>
    </row>
    <row r="20" spans="22:22" x14ac:dyDescent="0.5">
      <c r="V20"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Sheet</vt:lpstr>
      <vt:lpstr>Working Sheet</vt:lpstr>
      <vt:lpstr>PT Avg</vt:lpstr>
      <vt:lpstr>PT Correlations</vt:lpstr>
      <vt:lpstr>PT Exercise Frequency</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Klymchuk Dmytriy</cp:lastModifiedBy>
  <dcterms:created xsi:type="dcterms:W3CDTF">2025-12-01T12:24:42Z</dcterms:created>
  <dcterms:modified xsi:type="dcterms:W3CDTF">2025-12-16T12:33:20Z</dcterms:modified>
</cp:coreProperties>
</file>